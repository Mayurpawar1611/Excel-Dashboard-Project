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vijay\OneDrive\Desktop\"/>
    </mc:Choice>
  </mc:AlternateContent>
  <xr:revisionPtr revIDLastSave="0" documentId="13_ncr:1_{3AC97E0B-E9EF-430B-B8F8-BAB5296792AC}" xr6:coauthVersionLast="47" xr6:coauthVersionMax="47" xr10:uidLastSave="{00000000-0000-0000-0000-000000000000}"/>
  <bookViews>
    <workbookView xWindow="-108" yWindow="-108" windowWidth="23256" windowHeight="12576" activeTab="1" xr2:uid="{00000000-000D-0000-FFFF-FFFF00000000}"/>
  </bookViews>
  <sheets>
    <sheet name="Sheet1" sheetId="2" r:id="rId1"/>
    <sheet name="Sheet2" sheetId="3" r:id="rId2"/>
    <sheet name="Sheet4" sheetId="5" r:id="rId3"/>
    <sheet name="googl_data_2020_2025" sheetId="1" r:id="rId4"/>
  </sheets>
  <definedNames>
    <definedName name="_xlnm._FilterDatabase" localSheetId="3" hidden="1">googl_data_2020_2025!$A$1:$E$1259</definedName>
    <definedName name="NativeTimeline_Date">#N/A</definedName>
    <definedName name="Slicer_Day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Lst>
</workbook>
</file>

<file path=xl/calcChain.xml><?xml version="1.0" encoding="utf-8"?>
<calcChain xmlns="http://schemas.openxmlformats.org/spreadsheetml/2006/main">
  <c r="B1067" i="1" l="1"/>
  <c r="C1067" i="1"/>
  <c r="D1067" i="1"/>
  <c r="E1067" i="1"/>
  <c r="B1062" i="1"/>
  <c r="C1062" i="1"/>
  <c r="D1062" i="1"/>
  <c r="E1062" i="1"/>
  <c r="B1057" i="1"/>
  <c r="C1057" i="1"/>
  <c r="D1057" i="1"/>
  <c r="E1057" i="1"/>
  <c r="B1052" i="1"/>
  <c r="C1052" i="1"/>
  <c r="D1052" i="1"/>
  <c r="E1052" i="1"/>
  <c r="B1047" i="1"/>
  <c r="C1047" i="1"/>
  <c r="D1047" i="1"/>
  <c r="E1047" i="1"/>
  <c r="B1042" i="1"/>
  <c r="C1042" i="1"/>
  <c r="D1042" i="1"/>
  <c r="E1042" i="1"/>
  <c r="B1038" i="1"/>
  <c r="C1038" i="1"/>
  <c r="D1038" i="1"/>
  <c r="E1038" i="1"/>
  <c r="B1033" i="1"/>
  <c r="C1033" i="1"/>
  <c r="D1033" i="1"/>
  <c r="E1033" i="1"/>
  <c r="B1028" i="1"/>
  <c r="C1028" i="1"/>
  <c r="D1028" i="1"/>
  <c r="E1028"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C12" i="5"/>
  <c r="C11" i="5"/>
  <c r="C13" i="5"/>
  <c r="E2" i="1" l="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9" i="1"/>
  <c r="E1030" i="1"/>
  <c r="E1031" i="1"/>
  <c r="E1032" i="1"/>
  <c r="E1034" i="1"/>
  <c r="E1035" i="1"/>
  <c r="E1036" i="1"/>
  <c r="E1037" i="1"/>
  <c r="E1039" i="1"/>
  <c r="E1040" i="1"/>
  <c r="E1041" i="1"/>
  <c r="E1043" i="1"/>
  <c r="E1044" i="1"/>
  <c r="E1045" i="1"/>
  <c r="E1046" i="1"/>
  <c r="E1048" i="1"/>
  <c r="E1049" i="1"/>
  <c r="E1050" i="1"/>
  <c r="E1051" i="1"/>
  <c r="E1053" i="1"/>
  <c r="E1054" i="1"/>
  <c r="E1055" i="1"/>
  <c r="E1056" i="1"/>
  <c r="E1058" i="1"/>
  <c r="E1059" i="1"/>
  <c r="E1060" i="1"/>
  <c r="E1061" i="1"/>
  <c r="E1063" i="1"/>
  <c r="E1064" i="1"/>
  <c r="E1065" i="1"/>
  <c r="E1066"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9" i="1"/>
  <c r="D1030" i="1"/>
  <c r="D1031" i="1"/>
  <c r="D1032" i="1"/>
  <c r="D1034" i="1"/>
  <c r="D1035" i="1"/>
  <c r="D1036" i="1"/>
  <c r="D1037" i="1"/>
  <c r="D1039" i="1"/>
  <c r="D1040" i="1"/>
  <c r="D1041" i="1"/>
  <c r="D1043" i="1"/>
  <c r="D1044" i="1"/>
  <c r="D1045" i="1"/>
  <c r="D1046" i="1"/>
  <c r="D1048" i="1"/>
  <c r="D1049" i="1"/>
  <c r="D1050" i="1"/>
  <c r="D1051" i="1"/>
  <c r="D1053" i="1"/>
  <c r="D1054" i="1"/>
  <c r="D1055" i="1"/>
  <c r="D1056" i="1"/>
  <c r="D1058" i="1"/>
  <c r="D1059" i="1"/>
  <c r="D1060" i="1"/>
  <c r="D1061" i="1"/>
  <c r="D1063" i="1"/>
  <c r="D1064" i="1"/>
  <c r="D1065" i="1"/>
  <c r="D1066"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9" i="1"/>
  <c r="C1030" i="1"/>
  <c r="C1031" i="1"/>
  <c r="C1032" i="1"/>
  <c r="C1034" i="1"/>
  <c r="C1035" i="1"/>
  <c r="C1036" i="1"/>
  <c r="C1037" i="1"/>
  <c r="C1039" i="1"/>
  <c r="C1040" i="1"/>
  <c r="C1041" i="1"/>
  <c r="C1043" i="1"/>
  <c r="C1044" i="1"/>
  <c r="C1045" i="1"/>
  <c r="C1046" i="1"/>
  <c r="C1048" i="1"/>
  <c r="C1049" i="1"/>
  <c r="C1050" i="1"/>
  <c r="C1051" i="1"/>
  <c r="C1053" i="1"/>
  <c r="C1054" i="1"/>
  <c r="C1055" i="1"/>
  <c r="C1056" i="1"/>
  <c r="C1058" i="1"/>
  <c r="C1059" i="1"/>
  <c r="C1060" i="1"/>
  <c r="C1061" i="1"/>
  <c r="C1063" i="1"/>
  <c r="C1064" i="1"/>
  <c r="C1065" i="1"/>
  <c r="C1066"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2"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9" i="1"/>
  <c r="B1030" i="1"/>
  <c r="B1031" i="1"/>
  <c r="B1032" i="1"/>
  <c r="B1034" i="1"/>
  <c r="B1035" i="1"/>
  <c r="B1036" i="1"/>
  <c r="B1037" i="1"/>
  <c r="B1039" i="1"/>
  <c r="B1040" i="1"/>
  <c r="B1041" i="1"/>
  <c r="B1043" i="1"/>
  <c r="B1044" i="1"/>
  <c r="B1045" i="1"/>
  <c r="B1046" i="1"/>
  <c r="B1048" i="1"/>
  <c r="B1049" i="1"/>
  <c r="B1050" i="1"/>
  <c r="B1051" i="1"/>
  <c r="B1053" i="1"/>
  <c r="B1054" i="1"/>
  <c r="B1055" i="1"/>
  <c r="B1056" i="1"/>
  <c r="B1058" i="1"/>
  <c r="B1059" i="1"/>
  <c r="B1060" i="1"/>
  <c r="B1061" i="1"/>
  <c r="B1063" i="1"/>
  <c r="B1064" i="1"/>
  <c r="B1065" i="1"/>
  <c r="B1066"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3" i="1"/>
  <c r="B4" i="1"/>
  <c r="B5" i="1"/>
  <c r="B6" i="1"/>
  <c r="B7" i="1"/>
  <c r="B8" i="1"/>
  <c r="B9" i="1"/>
  <c r="B10" i="1"/>
  <c r="B11" i="1"/>
  <c r="B12" i="1"/>
  <c r="B13" i="1"/>
  <c r="B14" i="1"/>
  <c r="B15" i="1"/>
  <c r="B2" i="1"/>
  <c r="E13" i="5"/>
  <c r="D11" i="5"/>
  <c r="E11" i="5"/>
  <c r="D12" i="5"/>
  <c r="E12" i="5"/>
  <c r="D13" i="5"/>
</calcChain>
</file>

<file path=xl/sharedStrings.xml><?xml version="1.0" encoding="utf-8"?>
<sst xmlns="http://schemas.openxmlformats.org/spreadsheetml/2006/main" count="95" uniqueCount="37">
  <si>
    <t>Adj Close</t>
  </si>
  <si>
    <t>Close</t>
  </si>
  <si>
    <t>High</t>
  </si>
  <si>
    <t>Low</t>
  </si>
  <si>
    <t>Open</t>
  </si>
  <si>
    <t>Volume</t>
  </si>
  <si>
    <t>Date</t>
  </si>
  <si>
    <t>Days</t>
  </si>
  <si>
    <t>Month</t>
  </si>
  <si>
    <t>Year</t>
  </si>
  <si>
    <t>Quaterly</t>
  </si>
  <si>
    <t>Row Labels</t>
  </si>
  <si>
    <t>Grand Total</t>
  </si>
  <si>
    <t>Jan</t>
  </si>
  <si>
    <t>Feb</t>
  </si>
  <si>
    <t>Mar</t>
  </si>
  <si>
    <t>Apr</t>
  </si>
  <si>
    <t>May</t>
  </si>
  <si>
    <t>Jun</t>
  </si>
  <si>
    <t>Jul</t>
  </si>
  <si>
    <t>Aug</t>
  </si>
  <si>
    <t>Sep</t>
  </si>
  <si>
    <t>Oct</t>
  </si>
  <si>
    <t>Nov</t>
  </si>
  <si>
    <t>Dec</t>
  </si>
  <si>
    <t>(All)</t>
  </si>
  <si>
    <t>Average of Close</t>
  </si>
  <si>
    <t>Average of Volume</t>
  </si>
  <si>
    <t>Average of Open</t>
  </si>
  <si>
    <t>Average of High</t>
  </si>
  <si>
    <t>Average of Low</t>
  </si>
  <si>
    <t>Forecast(Close)</t>
  </si>
  <si>
    <t>Lower Confidence Bound(Close)</t>
  </si>
  <si>
    <t>Upper Confidence Bound(Close)</t>
  </si>
  <si>
    <t>Max of High</t>
  </si>
  <si>
    <t>Max of Low</t>
  </si>
  <si>
    <t>Google Stock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</si>
</sst>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CC"/>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center" vertical="top"/>
    </xf>
    <xf numFmtId="0" fontId="0" fillId="0" borderId="0" xfId="0" applyAlignment="1">
      <alignment horizontal="center" vertical="top"/>
    </xf>
    <xf numFmtId="2" fontId="0" fillId="0" borderId="0" xfId="0" applyNumberFormat="1"/>
    <xf numFmtId="0" fontId="0" fillId="33" borderId="0" xfId="0" applyFill="1"/>
    <xf numFmtId="0" fontId="18" fillId="33" borderId="0" xfId="0" applyFont="1" applyFill="1"/>
    <xf numFmtId="0" fontId="18" fillId="33" borderId="0" xfId="0" applyFont="1" applyFill="1" applyAlignment="1">
      <alignment horizontal="center" vertical="center" shrinkToFit="1"/>
    </xf>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 formatCode="0.00"/>
    </dxf>
    <dxf>
      <numFmt numFmtId="2" formatCode="0.00"/>
    </dxf>
    <dxf>
      <numFmt numFmtId="165" formatCode="m/d/yyyy"/>
    </dxf>
    <dxf>
      <numFmt numFmtId="1" formatCode="0"/>
    </dxf>
    <dxf>
      <font>
        <b/>
        <i val="0"/>
        <sz val="24"/>
        <color theme="1"/>
        <name val="Calibri Light"/>
        <family val="2"/>
        <scheme val="major"/>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24"/>
        <name val="Calibri Light"/>
        <family val="2"/>
        <scheme val="major"/>
      </font>
    </dxf>
    <dxf>
      <border diagonalDown="1">
        <left style="thin">
          <color auto="1"/>
        </left>
        <right style="thin">
          <color auto="1"/>
        </right>
        <top style="thin">
          <color auto="1"/>
        </top>
        <bottom style="thin">
          <color auto="1"/>
        </bottom>
        <diagonal style="thin">
          <color auto="1"/>
        </diagonal>
      </border>
    </dxf>
  </dxfs>
  <tableStyles count="2" defaultTableStyle="TableStyleMedium2" defaultPivotStyle="PivotStyleLight16">
    <tableStyle name="Slicer Style 1" pivot="0" table="0" count="8" xr9:uid="{662DA72F-53BE-4659-A325-22366C0B1EBC}">
      <tableStyleElement type="wholeTable" dxfId="7"/>
      <tableStyleElement type="headerRow" dxfId="6"/>
    </tableStyle>
    <tableStyle name="Timeline Style 1" pivot="0" table="0" count="8" xr9:uid="{4BC67C06-ECF7-490F-81F9-6B4DF2396216}">
      <tableStyleElement type="wholeTable" dxfId="5"/>
      <tableStyleElement type="headerRow" dxfId="4"/>
    </tableStyle>
  </tableStyles>
  <colors>
    <mruColors>
      <color rgb="FFFFFFCC"/>
      <color rgb="FFCCFFCC"/>
      <color rgb="FFD9D9D9"/>
    </mruColors>
  </colors>
  <extLst>
    <ext xmlns:x14="http://schemas.microsoft.com/office/spreadsheetml/2009/9/main" uri="{46F421CA-312F-682f-3DD2-61675219B42D}">
      <x14:dxfs count="6">
        <dxf>
          <font>
            <b val="0"/>
            <i val="0"/>
            <sz val="22"/>
            <name val="Calibri"/>
            <family val="2"/>
            <scheme val="minor"/>
          </font>
        </dxf>
        <dxf>
          <font>
            <b val="0"/>
            <i val="0"/>
            <sz val="22"/>
            <name val="Calibri"/>
            <family val="2"/>
            <scheme val="minor"/>
          </font>
        </dxf>
        <dxf>
          <font>
            <b val="0"/>
            <i val="0"/>
            <strike val="0"/>
            <sz val="20"/>
            <color theme="1"/>
            <name val="Calibri"/>
            <family val="2"/>
            <scheme val="minor"/>
          </font>
        </dxf>
        <dxf>
          <font>
            <b val="0"/>
            <i val="0"/>
            <sz val="20"/>
            <color rgb="FFD9D9D9"/>
            <name val="Calibri"/>
            <family val="2"/>
            <scheme val="minor"/>
          </font>
          <fill>
            <patternFill>
              <bgColor theme="1"/>
            </patternFill>
          </fill>
          <border>
            <left style="thin">
              <color auto="1"/>
            </left>
            <right style="thin">
              <color auto="1"/>
            </right>
            <top style="thin">
              <color auto="1"/>
            </top>
            <bottom style="thin">
              <color auto="1"/>
            </bottom>
          </border>
        </dxf>
        <dxf>
          <font>
            <b val="0"/>
            <i val="0"/>
            <sz val="20"/>
            <name val="Calibri"/>
            <family val="2"/>
            <scheme val="minor"/>
          </font>
        </dxf>
        <dxf>
          <font>
            <b val="0"/>
            <i val="0"/>
            <sz val="2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A0A4C193-F2C1-4fcb-8827-314CF55A85BB}">
      <x15:dxfs count="6">
        <dxf>
          <fill>
            <patternFill>
              <bgColor theme="0"/>
            </patternFill>
          </fill>
        </dxf>
        <dxf>
          <fill>
            <patternFill patternType="solid">
              <fgColor theme="0" tint="-0.14999847407452621"/>
              <bgColor theme="0" tint="-0.14999847407452621"/>
            </patternFill>
          </fill>
          <border>
            <left style="thin">
              <color auto="1"/>
            </left>
            <right style="thin">
              <color auto="1"/>
            </right>
            <top style="thin">
              <color auto="1"/>
            </top>
            <bottom style="thin">
              <color auto="1"/>
            </bottom>
          </border>
        </dxf>
        <dxf>
          <fill>
            <patternFill patternType="solid">
              <fgColor theme="0"/>
              <bgColor theme="1"/>
            </patternFill>
          </fill>
          <border>
            <left style="thin">
              <color auto="1"/>
            </left>
            <right style="thin">
              <color auto="1"/>
            </right>
            <top style="thin">
              <color auto="1"/>
            </top>
            <bottom style="thin">
              <color auto="1"/>
            </bottom>
          </border>
        </dxf>
        <dxf>
          <font>
            <b val="0"/>
            <i val="0"/>
            <sz val="20"/>
            <color theme="1"/>
            <name val="Calibri"/>
            <family val="2"/>
            <scheme val="minor"/>
          </font>
        </dxf>
        <dxf>
          <font>
            <b val="0"/>
            <i val="0"/>
            <sz val="20"/>
            <color theme="1"/>
            <name val="Calibri"/>
            <family val="2"/>
            <scheme val="minor"/>
          </font>
        </dxf>
        <dxf>
          <font>
            <b val="0"/>
            <i val="0"/>
            <sz val="18"/>
            <color theme="1" tint="0.49998474074526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analysis 20-24.xlsx]Sheet1!PivotTable3</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Sheet1!$B$26</c:f>
              <c:strCache>
                <c:ptCount val="1"/>
                <c:pt idx="0">
                  <c:v>Average of Open</c:v>
                </c:pt>
              </c:strCache>
            </c:strRef>
          </c:tx>
          <c:spPr>
            <a:solidFill>
              <a:schemeClr val="accent1"/>
            </a:solidFill>
            <a:ln>
              <a:noFill/>
            </a:ln>
            <a:effectLst/>
          </c:spPr>
          <c:invertIfNegative val="0"/>
          <c:cat>
            <c:strRef>
              <c:f>Sheet1!$A$27:$A$34</c:f>
              <c:strCache>
                <c:ptCount val="7"/>
                <c:pt idx="0">
                  <c:v>Feb</c:v>
                </c:pt>
                <c:pt idx="1">
                  <c:v>Mar</c:v>
                </c:pt>
                <c:pt idx="2">
                  <c:v>May</c:v>
                </c:pt>
                <c:pt idx="3">
                  <c:v>Jun</c:v>
                </c:pt>
                <c:pt idx="4">
                  <c:v>Aug</c:v>
                </c:pt>
                <c:pt idx="5">
                  <c:v>Oct</c:v>
                </c:pt>
                <c:pt idx="6">
                  <c:v>Nov</c:v>
                </c:pt>
              </c:strCache>
            </c:strRef>
          </c:cat>
          <c:val>
            <c:numRef>
              <c:f>Sheet1!$B$27:$B$34</c:f>
              <c:numCache>
                <c:formatCode>General</c:formatCode>
                <c:ptCount val="7"/>
                <c:pt idx="0">
                  <c:v>144.6499939</c:v>
                </c:pt>
                <c:pt idx="1">
                  <c:v>133.11999510000001</c:v>
                </c:pt>
                <c:pt idx="2">
                  <c:v>167.46000670000001</c:v>
                </c:pt>
                <c:pt idx="3">
                  <c:v>175.8999939</c:v>
                </c:pt>
                <c:pt idx="4">
                  <c:v>159.33000179999999</c:v>
                </c:pt>
                <c:pt idx="5">
                  <c:v>168.0599976</c:v>
                </c:pt>
                <c:pt idx="6">
                  <c:v>173.8000031</c:v>
                </c:pt>
              </c:numCache>
            </c:numRef>
          </c:val>
          <c:extLst>
            <c:ext xmlns:c16="http://schemas.microsoft.com/office/drawing/2014/chart" uri="{C3380CC4-5D6E-409C-BE32-E72D297353CC}">
              <c16:uniqueId val="{0000001C-FDED-41AA-AAA6-39C8CF36113F}"/>
            </c:ext>
          </c:extLst>
        </c:ser>
        <c:ser>
          <c:idx val="1"/>
          <c:order val="1"/>
          <c:tx>
            <c:strRef>
              <c:f>Sheet1!$C$26</c:f>
              <c:strCache>
                <c:ptCount val="1"/>
                <c:pt idx="0">
                  <c:v>Average of High</c:v>
                </c:pt>
              </c:strCache>
            </c:strRef>
          </c:tx>
          <c:spPr>
            <a:solidFill>
              <a:schemeClr val="accent2"/>
            </a:solidFill>
            <a:ln>
              <a:noFill/>
            </a:ln>
            <a:effectLst/>
          </c:spPr>
          <c:invertIfNegative val="0"/>
          <c:cat>
            <c:strRef>
              <c:f>Sheet1!$A$27:$A$34</c:f>
              <c:strCache>
                <c:ptCount val="7"/>
                <c:pt idx="0">
                  <c:v>Feb</c:v>
                </c:pt>
                <c:pt idx="1">
                  <c:v>Mar</c:v>
                </c:pt>
                <c:pt idx="2">
                  <c:v>May</c:v>
                </c:pt>
                <c:pt idx="3">
                  <c:v>Jun</c:v>
                </c:pt>
                <c:pt idx="4">
                  <c:v>Aug</c:v>
                </c:pt>
                <c:pt idx="5">
                  <c:v>Oct</c:v>
                </c:pt>
                <c:pt idx="6">
                  <c:v>Nov</c:v>
                </c:pt>
              </c:strCache>
            </c:strRef>
          </c:cat>
          <c:val>
            <c:numRef>
              <c:f>Sheet1!$C$27:$C$34</c:f>
              <c:numCache>
                <c:formatCode>General</c:formatCode>
                <c:ptCount val="7"/>
                <c:pt idx="0">
                  <c:v>145.36000060000001</c:v>
                </c:pt>
                <c:pt idx="1">
                  <c:v>133.58000179999999</c:v>
                </c:pt>
                <c:pt idx="2">
                  <c:v>168.13999939999999</c:v>
                </c:pt>
                <c:pt idx="3">
                  <c:v>177.1499939</c:v>
                </c:pt>
                <c:pt idx="4">
                  <c:v>160.57000729999999</c:v>
                </c:pt>
                <c:pt idx="5">
                  <c:v>168.22999569999999</c:v>
                </c:pt>
                <c:pt idx="6">
                  <c:v>176.9400024</c:v>
                </c:pt>
              </c:numCache>
            </c:numRef>
          </c:val>
          <c:extLst>
            <c:ext xmlns:c16="http://schemas.microsoft.com/office/drawing/2014/chart" uri="{C3380CC4-5D6E-409C-BE32-E72D297353CC}">
              <c16:uniqueId val="{00000000-2ED0-46F6-BAF9-01B5E6A44B61}"/>
            </c:ext>
          </c:extLst>
        </c:ser>
        <c:ser>
          <c:idx val="2"/>
          <c:order val="2"/>
          <c:tx>
            <c:strRef>
              <c:f>Sheet1!$D$26</c:f>
              <c:strCache>
                <c:ptCount val="1"/>
                <c:pt idx="0">
                  <c:v>Average of Low</c:v>
                </c:pt>
              </c:strCache>
            </c:strRef>
          </c:tx>
          <c:spPr>
            <a:solidFill>
              <a:schemeClr val="accent3"/>
            </a:solidFill>
            <a:ln>
              <a:noFill/>
            </a:ln>
            <a:effectLst/>
          </c:spPr>
          <c:invertIfNegative val="0"/>
          <c:cat>
            <c:strRef>
              <c:f>Sheet1!$A$27:$A$34</c:f>
              <c:strCache>
                <c:ptCount val="7"/>
                <c:pt idx="0">
                  <c:v>Feb</c:v>
                </c:pt>
                <c:pt idx="1">
                  <c:v>Mar</c:v>
                </c:pt>
                <c:pt idx="2">
                  <c:v>May</c:v>
                </c:pt>
                <c:pt idx="3">
                  <c:v>Jun</c:v>
                </c:pt>
                <c:pt idx="4">
                  <c:v>Aug</c:v>
                </c:pt>
                <c:pt idx="5">
                  <c:v>Oct</c:v>
                </c:pt>
                <c:pt idx="6">
                  <c:v>Nov</c:v>
                </c:pt>
              </c:strCache>
            </c:strRef>
          </c:cat>
          <c:val>
            <c:numRef>
              <c:f>Sheet1!$D$27:$D$34</c:f>
              <c:numCache>
                <c:formatCode>General</c:formatCode>
                <c:ptCount val="7"/>
                <c:pt idx="0">
                  <c:v>143.1900024</c:v>
                </c:pt>
                <c:pt idx="1">
                  <c:v>130.8500061</c:v>
                </c:pt>
                <c:pt idx="2">
                  <c:v>166.02999879999999</c:v>
                </c:pt>
                <c:pt idx="3">
                  <c:v>175.75</c:v>
                </c:pt>
                <c:pt idx="4">
                  <c:v>156.4100037</c:v>
                </c:pt>
                <c:pt idx="5">
                  <c:v>165.47999569999999</c:v>
                </c:pt>
                <c:pt idx="6">
                  <c:v>173.5</c:v>
                </c:pt>
              </c:numCache>
            </c:numRef>
          </c:val>
          <c:extLst>
            <c:ext xmlns:c16="http://schemas.microsoft.com/office/drawing/2014/chart" uri="{C3380CC4-5D6E-409C-BE32-E72D297353CC}">
              <c16:uniqueId val="{00000001-2ED0-46F6-BAF9-01B5E6A44B61}"/>
            </c:ext>
          </c:extLst>
        </c:ser>
        <c:ser>
          <c:idx val="3"/>
          <c:order val="3"/>
          <c:tx>
            <c:strRef>
              <c:f>Sheet1!$E$26</c:f>
              <c:strCache>
                <c:ptCount val="1"/>
                <c:pt idx="0">
                  <c:v>Average of Close</c:v>
                </c:pt>
              </c:strCache>
            </c:strRef>
          </c:tx>
          <c:spPr>
            <a:solidFill>
              <a:schemeClr val="accent4"/>
            </a:solidFill>
            <a:ln>
              <a:noFill/>
            </a:ln>
            <a:effectLst/>
          </c:spPr>
          <c:invertIfNegative val="0"/>
          <c:cat>
            <c:strRef>
              <c:f>Sheet1!$A$27:$A$34</c:f>
              <c:strCache>
                <c:ptCount val="7"/>
                <c:pt idx="0">
                  <c:v>Feb</c:v>
                </c:pt>
                <c:pt idx="1">
                  <c:v>Mar</c:v>
                </c:pt>
                <c:pt idx="2">
                  <c:v>May</c:v>
                </c:pt>
                <c:pt idx="3">
                  <c:v>Jun</c:v>
                </c:pt>
                <c:pt idx="4">
                  <c:v>Aug</c:v>
                </c:pt>
                <c:pt idx="5">
                  <c:v>Oct</c:v>
                </c:pt>
                <c:pt idx="6">
                  <c:v>Nov</c:v>
                </c:pt>
              </c:strCache>
            </c:strRef>
          </c:cat>
          <c:val>
            <c:numRef>
              <c:f>Sheet1!$E$27:$E$34</c:f>
              <c:numCache>
                <c:formatCode>General</c:formatCode>
                <c:ptCount val="7"/>
                <c:pt idx="0">
                  <c:v>144.1000061</c:v>
                </c:pt>
                <c:pt idx="1">
                  <c:v>131.3999939</c:v>
                </c:pt>
                <c:pt idx="2">
                  <c:v>168.1000061</c:v>
                </c:pt>
                <c:pt idx="3">
                  <c:v>176.72999569999999</c:v>
                </c:pt>
                <c:pt idx="4">
                  <c:v>158.28999329999999</c:v>
                </c:pt>
                <c:pt idx="5">
                  <c:v>167.0599976</c:v>
                </c:pt>
                <c:pt idx="6">
                  <c:v>176.5099945</c:v>
                </c:pt>
              </c:numCache>
            </c:numRef>
          </c:val>
          <c:extLst>
            <c:ext xmlns:c16="http://schemas.microsoft.com/office/drawing/2014/chart" uri="{C3380CC4-5D6E-409C-BE32-E72D297353CC}">
              <c16:uniqueId val="{00000002-2ED0-46F6-BAF9-01B5E6A44B61}"/>
            </c:ext>
          </c:extLst>
        </c:ser>
        <c:dLbls>
          <c:showLegendKey val="0"/>
          <c:showVal val="0"/>
          <c:showCatName val="0"/>
          <c:showSerName val="0"/>
          <c:showPercent val="0"/>
          <c:showBubbleSize val="0"/>
        </c:dLbls>
        <c:gapWidth val="219"/>
        <c:overlap val="-27"/>
        <c:axId val="1703645360"/>
        <c:axId val="1703645776"/>
      </c:barChart>
      <c:catAx>
        <c:axId val="170364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645776"/>
        <c:crosses val="autoZero"/>
        <c:auto val="1"/>
        <c:lblAlgn val="ctr"/>
        <c:lblOffset val="100"/>
        <c:noMultiLvlLbl val="0"/>
      </c:catAx>
      <c:valAx>
        <c:axId val="170364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645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analysis 20-24.xlsx]Sheet1!PivotTable1</c:name>
    <c:fmtId val="11"/>
  </c:pivotSource>
  <c:chart>
    <c:title>
      <c:tx>
        <c:rich>
          <a:bodyPr rot="0" spcFirstLastPara="1" vertOverflow="ellipsis" vert="horz" wrap="square" anchor="ctr" anchorCtr="1"/>
          <a:lstStyle/>
          <a:p>
            <a:pPr>
              <a:defRPr sz="2400" b="1" i="0" u="none" strike="noStrike" kern="1200" spc="0" baseline="0">
                <a:ln>
                  <a:noFill/>
                </a:ln>
                <a:solidFill>
                  <a:schemeClr val="tx1"/>
                </a:solidFill>
                <a:latin typeface="+mj-lt"/>
                <a:ea typeface="+mn-ea"/>
                <a:cs typeface="+mn-cs"/>
              </a:defRPr>
            </a:pPr>
            <a:r>
              <a:rPr lang="en-US" sz="2400" b="1">
                <a:latin typeface="+mj-lt"/>
              </a:rPr>
              <a:t>Closing Price Trend</a:t>
            </a:r>
          </a:p>
        </c:rich>
      </c:tx>
      <c:layout>
        <c:manualLayout>
          <c:xMode val="edge"/>
          <c:yMode val="edge"/>
          <c:x val="0.36265015205319934"/>
          <c:y val="4.1515176829954856E-2"/>
        </c:manualLayout>
      </c:layout>
      <c:overlay val="0"/>
      <c:spPr>
        <a:noFill/>
        <a:ln>
          <a:noFill/>
        </a:ln>
        <a:effectLst/>
      </c:spPr>
      <c:txPr>
        <a:bodyPr rot="0" spcFirstLastPara="1" vertOverflow="ellipsis" vert="horz" wrap="square" anchor="ctr" anchorCtr="1"/>
        <a:lstStyle/>
        <a:p>
          <a:pPr>
            <a:defRPr sz="2400" b="1" i="0" u="none" strike="noStrike" kern="1200" spc="0" baseline="0">
              <a:ln>
                <a:noFill/>
              </a:ln>
              <a:solidFill>
                <a:schemeClr val="tx1"/>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chemeClr val="accent1">
                <a:lumMod val="50000"/>
              </a:schemeClr>
            </a:solidFill>
            <a:round/>
          </a:ln>
          <a:effectLst/>
        </c:spPr>
        <c:marker>
          <c:symbol val="circle"/>
          <c:size val="5"/>
          <c:spPr>
            <a:no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cap="rnd">
            <a:solidFill>
              <a:schemeClr val="accent1">
                <a:lumMod val="50000"/>
              </a:schemeClr>
            </a:solidFill>
            <a:round/>
          </a:ln>
          <a:effectLst/>
        </c:spPr>
        <c:marker>
          <c:symbol val="circle"/>
          <c:size val="5"/>
          <c:spPr>
            <a:no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cap="rnd">
            <a:solidFill>
              <a:schemeClr val="accent1">
                <a:lumMod val="50000"/>
              </a:schemeClr>
            </a:solidFill>
            <a:round/>
          </a:ln>
          <a:effectLst/>
        </c:spPr>
        <c:marker>
          <c:symbol val="circle"/>
          <c:size val="5"/>
          <c:spPr>
            <a:no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cap="rnd">
            <a:solidFill>
              <a:schemeClr val="accent1">
                <a:lumMod val="50000"/>
              </a:schemeClr>
            </a:solidFill>
            <a:round/>
          </a:ln>
          <a:effectLst/>
        </c:spPr>
        <c:marker>
          <c:symbol val="circle"/>
          <c:size val="5"/>
          <c:spPr>
            <a:noFill/>
            <a:ln w="9525">
              <a:solidFill>
                <a:schemeClr val="accent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1">
                <a:lumMod val="50000"/>
              </a:schemeClr>
            </a:solidFill>
            <a:round/>
          </a:ln>
          <a:effectLst/>
        </c:spPr>
        <c:marker>
          <c:symbol val="circle"/>
          <c:size val="5"/>
          <c:spPr>
            <a:noFill/>
            <a:ln w="9525">
              <a:solidFill>
                <a:schemeClr val="accent1">
                  <a:lumMod val="50000"/>
                </a:schemeClr>
              </a:solidFill>
            </a:ln>
            <a:effectLst/>
          </c:spPr>
        </c:marker>
        <c:dLbl>
          <c:idx val="0"/>
          <c:numFmt formatCode="m/d/yyyy"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5400" cap="rnd">
            <a:solidFill>
              <a:schemeClr val="accent1">
                <a:lumMod val="50000"/>
              </a:schemeClr>
            </a:solidFill>
            <a:round/>
          </a:ln>
          <a:effectLst/>
        </c:spPr>
        <c:marker>
          <c:symbol val="circle"/>
          <c:size val="5"/>
          <c:spPr>
            <a:noFill/>
            <a:ln w="9525">
              <a:solidFill>
                <a:schemeClr val="accent1">
                  <a:lumMod val="50000"/>
                </a:schemeClr>
              </a:solidFill>
            </a:ln>
            <a:effectLst/>
          </c:spPr>
        </c:marker>
        <c:dLbl>
          <c:idx val="0"/>
          <c:numFmt formatCode="m/d/yyyy"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8.8288818582410444E-2"/>
          <c:y val="0.15630395804067454"/>
          <c:w val="0.87301539877205037"/>
          <c:h val="0.69259005654343819"/>
        </c:manualLayout>
      </c:layout>
      <c:lineChart>
        <c:grouping val="standard"/>
        <c:varyColors val="0"/>
        <c:ser>
          <c:idx val="0"/>
          <c:order val="0"/>
          <c:tx>
            <c:strRef>
              <c:f>Sheet1!$B$6</c:f>
              <c:strCache>
                <c:ptCount val="1"/>
                <c:pt idx="0">
                  <c:v>Total</c:v>
                </c:pt>
              </c:strCache>
            </c:strRef>
          </c:tx>
          <c:spPr>
            <a:ln w="25400" cap="rnd">
              <a:solidFill>
                <a:schemeClr val="accent1">
                  <a:lumMod val="50000"/>
                </a:schemeClr>
              </a:solidFill>
              <a:round/>
            </a:ln>
            <a:effectLst/>
          </c:spPr>
          <c:marker>
            <c:symbol val="circle"/>
            <c:size val="5"/>
            <c:spPr>
              <a:noFill/>
              <a:ln w="9525">
                <a:solidFill>
                  <a:schemeClr val="accent1">
                    <a:lumMod val="50000"/>
                  </a:schemeClr>
                </a:solidFill>
              </a:ln>
              <a:effectLst/>
            </c:spPr>
          </c:marker>
          <c:dPt>
            <c:idx val="5"/>
            <c:marker>
              <c:symbol val="circle"/>
              <c:size val="5"/>
              <c:spPr>
                <a:noFill/>
                <a:ln w="9525">
                  <a:solidFill>
                    <a:schemeClr val="accent1">
                      <a:lumMod val="50000"/>
                    </a:schemeClr>
                  </a:solidFill>
                </a:ln>
                <a:effectLst/>
              </c:spPr>
            </c:marker>
            <c:bubble3D val="0"/>
            <c:extLst>
              <c:ext xmlns:c16="http://schemas.microsoft.com/office/drawing/2014/chart" uri="{C3380CC4-5D6E-409C-BE32-E72D297353CC}">
                <c16:uniqueId val="{00000001-8053-45ED-AA3D-A00E54E28D75}"/>
              </c:ext>
            </c:extLst>
          </c:dPt>
          <c:dLbls>
            <c:dLbl>
              <c:idx val="5"/>
              <c:dLblPos val="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8053-45ED-AA3D-A00E54E28D75}"/>
                </c:ext>
              </c:extLst>
            </c:dLbl>
            <c:numFmt formatCode="m/d/yyyy" sourceLinked="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trendline>
            <c:spPr>
              <a:ln w="50800" cap="rnd">
                <a:solidFill>
                  <a:schemeClr val="accent1">
                    <a:lumMod val="50000"/>
                  </a:schemeClr>
                </a:solidFill>
                <a:prstDash val="sysDot"/>
              </a:ln>
              <a:effectLst/>
            </c:spPr>
            <c:trendlineType val="movingAvg"/>
            <c:period val="2"/>
            <c:dispRSqr val="0"/>
            <c:dispEq val="0"/>
          </c:trendline>
          <c:cat>
            <c:strRef>
              <c:f>Sheet1!$A$7:$A$14</c:f>
              <c:strCache>
                <c:ptCount val="7"/>
                <c:pt idx="0">
                  <c:v>Feb</c:v>
                </c:pt>
                <c:pt idx="1">
                  <c:v>Mar</c:v>
                </c:pt>
                <c:pt idx="2">
                  <c:v>May</c:v>
                </c:pt>
                <c:pt idx="3">
                  <c:v>Jun</c:v>
                </c:pt>
                <c:pt idx="4">
                  <c:v>Aug</c:v>
                </c:pt>
                <c:pt idx="5">
                  <c:v>Oct</c:v>
                </c:pt>
                <c:pt idx="6">
                  <c:v>Nov</c:v>
                </c:pt>
              </c:strCache>
            </c:strRef>
          </c:cat>
          <c:val>
            <c:numRef>
              <c:f>Sheet1!$B$7:$B$14</c:f>
              <c:numCache>
                <c:formatCode>General</c:formatCode>
                <c:ptCount val="7"/>
                <c:pt idx="0">
                  <c:v>144.1000061</c:v>
                </c:pt>
                <c:pt idx="1">
                  <c:v>131.3999939</c:v>
                </c:pt>
                <c:pt idx="2">
                  <c:v>168.1000061</c:v>
                </c:pt>
                <c:pt idx="3">
                  <c:v>176.72999569999999</c:v>
                </c:pt>
                <c:pt idx="4">
                  <c:v>158.28999329999999</c:v>
                </c:pt>
                <c:pt idx="5">
                  <c:v>167.0599976</c:v>
                </c:pt>
                <c:pt idx="6">
                  <c:v>176.5099945</c:v>
                </c:pt>
              </c:numCache>
            </c:numRef>
          </c:val>
          <c:smooth val="0"/>
          <c:extLst>
            <c:ext xmlns:c16="http://schemas.microsoft.com/office/drawing/2014/chart" uri="{C3380CC4-5D6E-409C-BE32-E72D297353CC}">
              <c16:uniqueId val="{00000001-8031-49CD-9B00-D7AEA8908B56}"/>
            </c:ext>
          </c:extLst>
        </c:ser>
        <c:dLbls>
          <c:showLegendKey val="0"/>
          <c:showVal val="0"/>
          <c:showCatName val="0"/>
          <c:showSerName val="0"/>
          <c:showPercent val="0"/>
          <c:showBubbleSize val="0"/>
        </c:dLbls>
        <c:marker val="1"/>
        <c:smooth val="0"/>
        <c:axId val="409594640"/>
        <c:axId val="409595888"/>
      </c:lineChart>
      <c:catAx>
        <c:axId val="409594640"/>
        <c:scaling>
          <c:orientation val="minMax"/>
        </c:scaling>
        <c:delete val="0"/>
        <c:axPos val="b"/>
        <c:majorGridlines>
          <c:spPr>
            <a:ln w="12700"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lgn="ctr" rtl="0">
                  <a:defRPr lang="en-US" sz="1800" b="0" i="0" u="none" strike="noStrike" kern="1200" baseline="0">
                    <a:ln>
                      <a:noFill/>
                    </a:ln>
                    <a:solidFill>
                      <a:sysClr val="windowText" lastClr="000000"/>
                    </a:solidFill>
                    <a:latin typeface="+mn-lt"/>
                    <a:ea typeface="+mn-ea"/>
                    <a:cs typeface="+mn-cs"/>
                  </a:defRPr>
                </a:pPr>
                <a:r>
                  <a:rPr lang="en-US" sz="1800" b="0" i="0" u="none" strike="noStrike" kern="1200" baseline="0">
                    <a:ln>
                      <a:noFill/>
                    </a:ln>
                    <a:solidFill>
                      <a:sysClr val="windowText" lastClr="000000"/>
                    </a:solidFill>
                    <a:latin typeface="+mn-lt"/>
                    <a:ea typeface="+mn-ea"/>
                    <a:cs typeface="+mn-cs"/>
                  </a:rPr>
                  <a:t>Time</a:t>
                </a:r>
              </a:p>
            </c:rich>
          </c:tx>
          <c:layout>
            <c:manualLayout>
              <c:xMode val="edge"/>
              <c:yMode val="edge"/>
              <c:x val="0.46577079329178672"/>
              <c:y val="0.92590344162145266"/>
            </c:manualLayout>
          </c:layout>
          <c:overlay val="0"/>
          <c:spPr>
            <a:noFill/>
            <a:ln>
              <a:noFill/>
            </a:ln>
            <a:effectLst/>
          </c:spPr>
          <c:txPr>
            <a:bodyPr rot="0" spcFirstLastPara="1" vertOverflow="ellipsis" vert="horz" wrap="square" anchor="ctr" anchorCtr="1"/>
            <a:lstStyle/>
            <a:p>
              <a:pPr algn="ctr" rtl="0">
                <a:defRPr lang="en-US" sz="1800" b="0" i="0" u="none" strike="noStrike" kern="1200" baseline="0">
                  <a:ln>
                    <a:noFill/>
                  </a:ln>
                  <a:solidFill>
                    <a:sysClr val="windowText" lastClr="000000"/>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800" b="0" i="0" u="none" strike="noStrike" kern="1200" baseline="0">
                <a:ln>
                  <a:noFill/>
                </a:ln>
                <a:solidFill>
                  <a:schemeClr val="tx1"/>
                </a:solidFill>
                <a:latin typeface="+mn-lt"/>
                <a:ea typeface="+mn-ea"/>
                <a:cs typeface="+mn-cs"/>
              </a:defRPr>
            </a:pPr>
            <a:endParaRPr lang="en-US"/>
          </a:p>
        </c:txPr>
        <c:crossAx val="409595888"/>
        <c:crosses val="autoZero"/>
        <c:auto val="1"/>
        <c:lblAlgn val="ctr"/>
        <c:lblOffset val="100"/>
        <c:noMultiLvlLbl val="0"/>
      </c:catAx>
      <c:valAx>
        <c:axId val="409595888"/>
        <c:scaling>
          <c:orientation val="minMax"/>
        </c:scaling>
        <c:delete val="0"/>
        <c:axPos val="l"/>
        <c:title>
          <c:tx>
            <c:rich>
              <a:bodyPr rot="-5400000" spcFirstLastPara="1" vertOverflow="ellipsis" vert="horz" wrap="square" anchor="ctr" anchorCtr="1"/>
              <a:lstStyle/>
              <a:p>
                <a:pPr algn="ctr" rtl="0">
                  <a:defRPr lang="en-US" sz="1800" b="0" i="0" u="none" strike="noStrike" kern="1200" baseline="0">
                    <a:ln>
                      <a:noFill/>
                    </a:ln>
                    <a:solidFill>
                      <a:sysClr val="windowText" lastClr="000000"/>
                    </a:solidFill>
                    <a:latin typeface="+mn-lt"/>
                    <a:ea typeface="+mn-ea"/>
                    <a:cs typeface="+mn-cs"/>
                  </a:defRPr>
                </a:pPr>
                <a:r>
                  <a:rPr lang="en-US" sz="1800" b="0" i="0" u="none" strike="noStrike" kern="1200" baseline="0">
                    <a:ln>
                      <a:noFill/>
                    </a:ln>
                    <a:solidFill>
                      <a:sysClr val="windowText" lastClr="000000"/>
                    </a:solidFill>
                    <a:latin typeface="+mn-lt"/>
                    <a:ea typeface="+mn-ea"/>
                    <a:cs typeface="+mn-cs"/>
                  </a:rPr>
                  <a:t>Price($)</a:t>
                </a:r>
              </a:p>
            </c:rich>
          </c:tx>
          <c:overlay val="0"/>
          <c:spPr>
            <a:noFill/>
            <a:ln>
              <a:noFill/>
            </a:ln>
            <a:effectLst/>
          </c:spPr>
          <c:txPr>
            <a:bodyPr rot="-5400000" spcFirstLastPara="1" vertOverflow="ellipsis" vert="horz" wrap="square" anchor="ctr" anchorCtr="1"/>
            <a:lstStyle/>
            <a:p>
              <a:pPr algn="ctr" rtl="0">
                <a:defRPr lang="en-US" sz="1800" b="0" i="0" u="none" strike="noStrike" kern="1200" baseline="0">
                  <a:ln>
                    <a:noFill/>
                  </a:ln>
                  <a:solidFill>
                    <a:sysClr val="windowText" lastClr="000000"/>
                  </a:solidFill>
                  <a:latin typeface="+mn-lt"/>
                  <a:ea typeface="+mn-ea"/>
                  <a:cs typeface="+mn-cs"/>
                </a:defRPr>
              </a:pPr>
              <a:endParaRPr lang="en-US"/>
            </a:p>
          </c:txPr>
        </c:title>
        <c:numFmt formatCode="General" sourceLinked="1"/>
        <c:majorTickMark val="out"/>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1800" b="0" i="0" u="none" strike="noStrike" kern="1200" baseline="0">
                <a:ln>
                  <a:noFill/>
                </a:ln>
                <a:solidFill>
                  <a:schemeClr val="tx1"/>
                </a:solidFill>
                <a:latin typeface="+mn-lt"/>
                <a:ea typeface="+mn-ea"/>
                <a:cs typeface="+mn-cs"/>
              </a:defRPr>
            </a:pPr>
            <a:endParaRPr lang="en-US"/>
          </a:p>
        </c:txPr>
        <c:crossAx val="409594640"/>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50000"/>
        </a:schemeClr>
      </a:solidFill>
      <a:round/>
    </a:ln>
    <a:effectLst>
      <a:outerShdw blurRad="50800" dist="38100" dir="2700000" algn="tl" rotWithShape="0">
        <a:prstClr val="black">
          <a:alpha val="40000"/>
        </a:prstClr>
      </a:outerShdw>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analysis 20-24.xlsx]Sheet1!PivotTable13</c:name>
    <c:fmtId val="15"/>
  </c:pivotSource>
  <c:chart>
    <c:title>
      <c:tx>
        <c:rich>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r>
              <a:rPr lang="en-US" sz="2400" b="1" i="0" u="none" strike="noStrike" kern="1200" spc="0" baseline="0">
                <a:ln>
                  <a:noFill/>
                </a:ln>
                <a:solidFill>
                  <a:sysClr val="windowText" lastClr="000000"/>
                </a:solidFill>
                <a:latin typeface="+mj-lt"/>
                <a:ea typeface="+mn-ea"/>
                <a:cs typeface="+mn-cs"/>
              </a:rPr>
              <a:t>Volume Exchange</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97756235627669E-2"/>
          <c:y val="0.16207170054788528"/>
          <c:w val="0.91974552381961505"/>
          <c:h val="0.68830394851097809"/>
        </c:manualLayout>
      </c:layout>
      <c:barChart>
        <c:barDir val="col"/>
        <c:grouping val="clustered"/>
        <c:varyColors val="0"/>
        <c:ser>
          <c:idx val="0"/>
          <c:order val="0"/>
          <c:tx>
            <c:strRef>
              <c:f>Sheet1!$E$6</c:f>
              <c:strCache>
                <c:ptCount val="1"/>
                <c:pt idx="0">
                  <c:v>Total</c:v>
                </c:pt>
              </c:strCache>
            </c:strRef>
          </c:tx>
          <c:spPr>
            <a:solidFill>
              <a:schemeClr val="accent1"/>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lang="en-US" sz="18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Sheet1!$D$7:$D$14</c:f>
              <c:strCache>
                <c:ptCount val="7"/>
                <c:pt idx="0">
                  <c:v>Feb</c:v>
                </c:pt>
                <c:pt idx="1">
                  <c:v>Mar</c:v>
                </c:pt>
                <c:pt idx="2">
                  <c:v>May</c:v>
                </c:pt>
                <c:pt idx="3">
                  <c:v>Jun</c:v>
                </c:pt>
                <c:pt idx="4">
                  <c:v>Aug</c:v>
                </c:pt>
                <c:pt idx="5">
                  <c:v>Oct</c:v>
                </c:pt>
                <c:pt idx="6">
                  <c:v>Nov</c:v>
                </c:pt>
              </c:strCache>
            </c:strRef>
          </c:cat>
          <c:val>
            <c:numRef>
              <c:f>Sheet1!$E$7:$E$14</c:f>
              <c:numCache>
                <c:formatCode>General</c:formatCode>
                <c:ptCount val="7"/>
                <c:pt idx="0">
                  <c:v>29128200</c:v>
                </c:pt>
                <c:pt idx="1">
                  <c:v>35318600</c:v>
                </c:pt>
                <c:pt idx="2">
                  <c:v>21871300</c:v>
                </c:pt>
                <c:pt idx="3">
                  <c:v>23251000</c:v>
                </c:pt>
                <c:pt idx="4">
                  <c:v>49004600</c:v>
                </c:pt>
                <c:pt idx="5">
                  <c:v>19047400</c:v>
                </c:pt>
                <c:pt idx="6">
                  <c:v>33695500</c:v>
                </c:pt>
              </c:numCache>
            </c:numRef>
          </c:val>
          <c:extLst>
            <c:ext xmlns:c16="http://schemas.microsoft.com/office/drawing/2014/chart" uri="{C3380CC4-5D6E-409C-BE32-E72D297353CC}">
              <c16:uniqueId val="{00000000-AA60-4639-9B65-21AD22ED8B4D}"/>
            </c:ext>
          </c:extLst>
        </c:ser>
        <c:dLbls>
          <c:dLblPos val="outEnd"/>
          <c:showLegendKey val="0"/>
          <c:showVal val="1"/>
          <c:showCatName val="0"/>
          <c:showSerName val="0"/>
          <c:showPercent val="0"/>
          <c:showBubbleSize val="0"/>
        </c:dLbls>
        <c:gapWidth val="219"/>
        <c:overlap val="-27"/>
        <c:axId val="592788312"/>
        <c:axId val="592788672"/>
      </c:barChart>
      <c:catAx>
        <c:axId val="592788312"/>
        <c:scaling>
          <c:orientation val="minMax"/>
        </c:scaling>
        <c:delete val="0"/>
        <c:axPos val="b"/>
        <c:title>
          <c:tx>
            <c:rich>
              <a:bodyPr rot="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r>
                  <a:rPr lang="en-IN"/>
                  <a:t>Time</a:t>
                </a:r>
              </a:p>
            </c:rich>
          </c:tx>
          <c:overlay val="0"/>
          <c:spPr>
            <a:noFill/>
            <a:ln>
              <a:noFill/>
            </a:ln>
            <a:effectLst/>
          </c:spPr>
          <c:txPr>
            <a:bodyPr rot="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crossAx val="592788672"/>
        <c:crosses val="autoZero"/>
        <c:auto val="1"/>
        <c:lblAlgn val="ctr"/>
        <c:lblOffset val="100"/>
        <c:noMultiLvlLbl val="0"/>
      </c:catAx>
      <c:valAx>
        <c:axId val="592788672"/>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IN" sz="1800" b="0" i="0" u="none" strike="noStrike" kern="1200" baseline="0">
                    <a:ln>
                      <a:noFill/>
                    </a:ln>
                    <a:solidFill>
                      <a:sysClr val="windowText" lastClr="000000"/>
                    </a:solidFill>
                    <a:latin typeface="+mn-lt"/>
                    <a:ea typeface="+mn-ea"/>
                    <a:cs typeface="+mn-cs"/>
                  </a:defRPr>
                </a:pPr>
                <a:r>
                  <a:rPr lang="en-IN" sz="1800" b="0" i="0" u="none" strike="noStrike" kern="1200" baseline="0">
                    <a:ln>
                      <a:noFill/>
                    </a:ln>
                    <a:solidFill>
                      <a:sysClr val="windowText" lastClr="000000"/>
                    </a:solidFill>
                    <a:latin typeface="+mn-lt"/>
                    <a:ea typeface="+mn-ea"/>
                    <a:cs typeface="+mn-cs"/>
                  </a:rPr>
                  <a:t>Avg Volume</a:t>
                </a:r>
              </a:p>
            </c:rich>
          </c:tx>
          <c:overlay val="0"/>
          <c:spPr>
            <a:noFill/>
            <a:ln>
              <a:noFill/>
            </a:ln>
            <a:effectLst/>
          </c:spPr>
          <c:txPr>
            <a:bodyPr rot="-5400000" spcFirstLastPara="1" vertOverflow="ellipsis" vert="horz" wrap="square" anchor="ctr" anchorCtr="1"/>
            <a:lstStyle/>
            <a:p>
              <a:pPr algn="ctr" rtl="0">
                <a:defRPr lang="en-IN" sz="1800" b="0" i="0" u="none" strike="noStrike" kern="1200" baseline="0">
                  <a:ln>
                    <a:noFill/>
                  </a:ln>
                  <a:solidFill>
                    <a:sysClr val="windowText" lastClr="000000"/>
                  </a:solidFill>
                  <a:latin typeface="+mn-lt"/>
                  <a:ea typeface="+mn-ea"/>
                  <a:cs typeface="+mn-cs"/>
                </a:defRPr>
              </a:pPr>
              <a:endParaRPr lang="en-US"/>
            </a:p>
          </c:txPr>
        </c:title>
        <c:numFmt formatCode="General" sourceLinked="1"/>
        <c:majorTickMark val="none"/>
        <c:minorTickMark val="none"/>
        <c:tickLblPos val="nextTo"/>
        <c:crossAx val="592788312"/>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lgn="ctr" rtl="0">
        <a:defRPr lang="en-US" sz="18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r>
              <a:rPr lang="en-US" sz="2400" b="1" i="0" u="none" strike="noStrike" kern="1200" spc="0" baseline="0">
                <a:ln>
                  <a:noFill/>
                </a:ln>
                <a:solidFill>
                  <a:sysClr val="windowText" lastClr="000000"/>
                </a:solidFill>
                <a:latin typeface="+mj-lt"/>
                <a:ea typeface="+mn-ea"/>
                <a:cs typeface="+mn-cs"/>
              </a:rPr>
              <a:t>Stock Chart</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endParaRPr lang="en-US"/>
        </a:p>
      </c:txPr>
    </c:title>
    <c:autoTitleDeleted val="0"/>
    <c:plotArea>
      <c:layout>
        <c:manualLayout>
          <c:layoutTarget val="inner"/>
          <c:xMode val="edge"/>
          <c:yMode val="edge"/>
          <c:x val="9.7587604385001844E-2"/>
          <c:y val="0.19152209867576586"/>
          <c:w val="0.85443209984363044"/>
          <c:h val="0.56598053031448592"/>
        </c:manualLayout>
      </c:layout>
      <c:stockChart>
        <c:ser>
          <c:idx val="0"/>
          <c:order val="0"/>
          <c:tx>
            <c:strRef>
              <c:f>Sheet1!$C$43</c:f>
              <c:strCache>
                <c:ptCount val="1"/>
                <c:pt idx="0">
                  <c:v>Average of Open</c:v>
                </c:pt>
              </c:strCache>
            </c:strRef>
          </c:tx>
          <c:spPr>
            <a:ln w="19050" cap="rnd">
              <a:noFill/>
              <a:round/>
            </a:ln>
            <a:effectLst/>
          </c:spPr>
          <c:marker>
            <c:symbol val="none"/>
          </c:marker>
          <c:cat>
            <c:strRef>
              <c:f>Sheet1!$B$44:$B$56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Grand Total</c:v>
                </c:pt>
              </c:strCache>
            </c:strRef>
          </c:cat>
          <c:val>
            <c:numRef>
              <c:f>Sheet1!$C$44:$C$56</c:f>
              <c:numCache>
                <c:formatCode>General</c:formatCode>
                <c:ptCount val="13"/>
                <c:pt idx="0">
                  <c:v>91.997999954499988</c:v>
                </c:pt>
                <c:pt idx="1">
                  <c:v>96.696842396842101</c:v>
                </c:pt>
                <c:pt idx="2">
                  <c:v>96.915652728260881</c:v>
                </c:pt>
                <c:pt idx="3">
                  <c:v>105.08947433157894</c:v>
                </c:pt>
                <c:pt idx="4">
                  <c:v>114.94272717272729</c:v>
                </c:pt>
                <c:pt idx="5">
                  <c:v>122.46904790952382</c:v>
                </c:pt>
                <c:pt idx="6">
                  <c:v>122.51950074999999</c:v>
                </c:pt>
                <c:pt idx="7">
                  <c:v>130.29652106521738</c:v>
                </c:pt>
                <c:pt idx="8">
                  <c:v>134.46100005</c:v>
                </c:pt>
                <c:pt idx="9">
                  <c:v>134.41909130909093</c:v>
                </c:pt>
                <c:pt idx="10">
                  <c:v>132.64523932857142</c:v>
                </c:pt>
                <c:pt idx="11">
                  <c:v>135.082500455</c:v>
                </c:pt>
                <c:pt idx="12">
                  <c:v>118.33760031152002</c:v>
                </c:pt>
              </c:numCache>
            </c:numRef>
          </c:val>
          <c:smooth val="0"/>
          <c:extLst>
            <c:ext xmlns:c16="http://schemas.microsoft.com/office/drawing/2014/chart" uri="{C3380CC4-5D6E-409C-BE32-E72D297353CC}">
              <c16:uniqueId val="{00000000-E80A-4B9B-A92F-7B11366F3F5F}"/>
            </c:ext>
          </c:extLst>
        </c:ser>
        <c:ser>
          <c:idx val="1"/>
          <c:order val="1"/>
          <c:tx>
            <c:strRef>
              <c:f>Sheet1!$D$43</c:f>
              <c:strCache>
                <c:ptCount val="1"/>
                <c:pt idx="0">
                  <c:v>Average of High</c:v>
                </c:pt>
              </c:strCache>
            </c:strRef>
          </c:tx>
          <c:spPr>
            <a:ln w="19050" cap="rnd">
              <a:noFill/>
              <a:round/>
            </a:ln>
            <a:effectLst/>
          </c:spPr>
          <c:marker>
            <c:symbol val="none"/>
          </c:marker>
          <c:cat>
            <c:strRef>
              <c:f>Sheet1!$B$44:$B$56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Grand Total</c:v>
                </c:pt>
              </c:strCache>
            </c:strRef>
          </c:cat>
          <c:val>
            <c:numRef>
              <c:f>Sheet1!$D$44:$D$56</c:f>
              <c:numCache>
                <c:formatCode>General</c:formatCode>
                <c:ptCount val="13"/>
                <c:pt idx="0">
                  <c:v>93.4295013415</c:v>
                </c:pt>
                <c:pt idx="1">
                  <c:v>98.199999761052638</c:v>
                </c:pt>
                <c:pt idx="2">
                  <c:v>98.616086876521734</c:v>
                </c:pt>
                <c:pt idx="3">
                  <c:v>106.56526345263157</c:v>
                </c:pt>
                <c:pt idx="4">
                  <c:v>116.72272700909089</c:v>
                </c:pt>
                <c:pt idx="5">
                  <c:v>124.09523810952379</c:v>
                </c:pt>
                <c:pt idx="6">
                  <c:v>123.96700058000002</c:v>
                </c:pt>
                <c:pt idx="7">
                  <c:v>131.80086816521742</c:v>
                </c:pt>
                <c:pt idx="8">
                  <c:v>135.73799973000001</c:v>
                </c:pt>
                <c:pt idx="9">
                  <c:v>135.86772814999998</c:v>
                </c:pt>
                <c:pt idx="10">
                  <c:v>133.9109518952381</c:v>
                </c:pt>
                <c:pt idx="11">
                  <c:v>136.429998775</c:v>
                </c:pt>
                <c:pt idx="12">
                  <c:v>119.82615991659999</c:v>
                </c:pt>
              </c:numCache>
            </c:numRef>
          </c:val>
          <c:smooth val="0"/>
          <c:extLst>
            <c:ext xmlns:c16="http://schemas.microsoft.com/office/drawing/2014/chart" uri="{C3380CC4-5D6E-409C-BE32-E72D297353CC}">
              <c16:uniqueId val="{00000001-E80A-4B9B-A92F-7B11366F3F5F}"/>
            </c:ext>
          </c:extLst>
        </c:ser>
        <c:ser>
          <c:idx val="2"/>
          <c:order val="2"/>
          <c:tx>
            <c:strRef>
              <c:f>Sheet1!$E$43</c:f>
              <c:strCache>
                <c:ptCount val="1"/>
                <c:pt idx="0">
                  <c:v>Average of Low</c:v>
                </c:pt>
              </c:strCache>
            </c:strRef>
          </c:tx>
          <c:spPr>
            <a:ln w="19050" cap="rnd">
              <a:noFill/>
              <a:round/>
            </a:ln>
            <a:effectLst/>
          </c:spPr>
          <c:marker>
            <c:symbol val="none"/>
          </c:marker>
          <c:cat>
            <c:strRef>
              <c:f>Sheet1!$B$44:$B$56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Grand Total</c:v>
                </c:pt>
              </c:strCache>
            </c:strRef>
          </c:cat>
          <c:val>
            <c:numRef>
              <c:f>Sheet1!$E$44:$E$56</c:f>
              <c:numCache>
                <c:formatCode>General</c:formatCode>
                <c:ptCount val="13"/>
                <c:pt idx="0">
                  <c:v>90.979499435000008</c:v>
                </c:pt>
                <c:pt idx="1">
                  <c:v>95.353684272631568</c:v>
                </c:pt>
                <c:pt idx="2">
                  <c:v>96.077390916521722</c:v>
                </c:pt>
                <c:pt idx="3">
                  <c:v>104.04420991578949</c:v>
                </c:pt>
                <c:pt idx="4">
                  <c:v>113.86318206363639</c:v>
                </c:pt>
                <c:pt idx="5">
                  <c:v>121.28428577142856</c:v>
                </c:pt>
                <c:pt idx="6">
                  <c:v>121.24850082500002</c:v>
                </c:pt>
                <c:pt idx="7">
                  <c:v>129.14478269565217</c:v>
                </c:pt>
                <c:pt idx="8">
                  <c:v>133.28000029499998</c:v>
                </c:pt>
                <c:pt idx="9">
                  <c:v>132.97454451818183</c:v>
                </c:pt>
                <c:pt idx="10">
                  <c:v>131.6866683904762</c:v>
                </c:pt>
                <c:pt idx="11">
                  <c:v>133.95349998</c:v>
                </c:pt>
                <c:pt idx="12">
                  <c:v>117.20288006224003</c:v>
                </c:pt>
              </c:numCache>
            </c:numRef>
          </c:val>
          <c:smooth val="0"/>
          <c:extLst>
            <c:ext xmlns:c16="http://schemas.microsoft.com/office/drawing/2014/chart" uri="{C3380CC4-5D6E-409C-BE32-E72D297353CC}">
              <c16:uniqueId val="{00000002-E80A-4B9B-A92F-7B11366F3F5F}"/>
            </c:ext>
          </c:extLst>
        </c:ser>
        <c:ser>
          <c:idx val="3"/>
          <c:order val="3"/>
          <c:tx>
            <c:strRef>
              <c:f>Sheet1!$F$43</c:f>
              <c:strCache>
                <c:ptCount val="1"/>
                <c:pt idx="0">
                  <c:v>Average of Close</c:v>
                </c:pt>
              </c:strCache>
            </c:strRef>
          </c:tx>
          <c:spPr>
            <a:ln w="19050" cap="rnd">
              <a:noFill/>
              <a:round/>
            </a:ln>
            <a:effectLst/>
          </c:spPr>
          <c:marker>
            <c:symbol val="none"/>
          </c:marker>
          <c:cat>
            <c:strRef>
              <c:f>Sheet1!$B$44:$B$56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Grand Total</c:v>
                </c:pt>
              </c:strCache>
            </c:strRef>
          </c:cat>
          <c:val>
            <c:numRef>
              <c:f>Sheet1!$F$44:$F$56</c:f>
              <c:numCache>
                <c:formatCode>General</c:formatCode>
                <c:ptCount val="13"/>
                <c:pt idx="0">
                  <c:v>92.509999848000007</c:v>
                </c:pt>
                <c:pt idx="1">
                  <c:v>96.878947612105264</c:v>
                </c:pt>
                <c:pt idx="2">
                  <c:v>97.465652132173915</c:v>
                </c:pt>
                <c:pt idx="3">
                  <c:v>105.52105311052632</c:v>
                </c:pt>
                <c:pt idx="4">
                  <c:v>115.41818201818182</c:v>
                </c:pt>
                <c:pt idx="5">
                  <c:v>122.68095216190474</c:v>
                </c:pt>
                <c:pt idx="6">
                  <c:v>122.40349959500001</c:v>
                </c:pt>
                <c:pt idx="7">
                  <c:v>130.39913044782611</c:v>
                </c:pt>
                <c:pt idx="8">
                  <c:v>134.56900101000002</c:v>
                </c:pt>
                <c:pt idx="9">
                  <c:v>134.48500096363637</c:v>
                </c:pt>
                <c:pt idx="10">
                  <c:v>132.97999971428573</c:v>
                </c:pt>
                <c:pt idx="11">
                  <c:v>135.21650086</c:v>
                </c:pt>
                <c:pt idx="12">
                  <c:v>118.58888021732005</c:v>
                </c:pt>
              </c:numCache>
            </c:numRef>
          </c:val>
          <c:smooth val="0"/>
          <c:extLst>
            <c:ext xmlns:c16="http://schemas.microsoft.com/office/drawing/2014/chart" uri="{C3380CC4-5D6E-409C-BE32-E72D297353CC}">
              <c16:uniqueId val="{00000003-E80A-4B9B-A92F-7B11366F3F5F}"/>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upDownBars>
          <c:gapWidth val="150"/>
          <c:upBars>
            <c:spPr>
              <a:solidFill>
                <a:schemeClr val="lt1"/>
              </a:solidFill>
              <a:ln w="9525" cap="flat" cmpd="sng" algn="ctr">
                <a:solidFill>
                  <a:schemeClr val="tx1">
                    <a:lumMod val="65000"/>
                    <a:lumOff val="35000"/>
                  </a:schemeClr>
                </a:solidFill>
                <a:round/>
              </a:ln>
              <a:effectLst/>
            </c:spPr>
          </c:upBars>
          <c:downBars>
            <c:spPr>
              <a:solidFill>
                <a:schemeClr val="dk1">
                  <a:lumMod val="75000"/>
                  <a:lumOff val="25000"/>
                </a:schemeClr>
              </a:solidFill>
              <a:ln w="9525" cap="flat" cmpd="sng" algn="ctr">
                <a:solidFill>
                  <a:schemeClr val="tx1">
                    <a:lumMod val="65000"/>
                    <a:lumOff val="35000"/>
                  </a:schemeClr>
                </a:solidFill>
                <a:round/>
              </a:ln>
              <a:effectLst/>
            </c:spPr>
          </c:downBars>
        </c:upDownBars>
        <c:axId val="1885725791"/>
        <c:axId val="1885727455"/>
      </c:stockChart>
      <c:catAx>
        <c:axId val="1885725791"/>
        <c:scaling>
          <c:orientation val="minMax"/>
        </c:scaling>
        <c:delete val="0"/>
        <c:axPos val="b"/>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r>
                  <a:rPr lang="en-US"/>
                  <a:t>Time</a:t>
                </a:r>
              </a:p>
            </c:rich>
          </c:tx>
          <c:layout>
            <c:manualLayout>
              <c:xMode val="edge"/>
              <c:yMode val="edge"/>
              <c:x val="0.48514541121868449"/>
              <c:y val="0.88584563992427345"/>
            </c:manualLayout>
          </c:layout>
          <c:overlay val="0"/>
          <c:spPr>
            <a:noFill/>
            <a:ln>
              <a:noFill/>
            </a:ln>
            <a:effectLst/>
          </c:spPr>
          <c:txPr>
            <a:bodyPr rot="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crossAx val="1885727455"/>
        <c:crosses val="autoZero"/>
        <c:auto val="1"/>
        <c:lblAlgn val="ctr"/>
        <c:lblOffset val="100"/>
        <c:noMultiLvlLbl val="0"/>
      </c:catAx>
      <c:valAx>
        <c:axId val="1885727455"/>
        <c:scaling>
          <c:orientation val="minMax"/>
        </c:scaling>
        <c:delete val="0"/>
        <c:axPos val="l"/>
        <c:title>
          <c:tx>
            <c:rich>
              <a:bodyPr rot="-5400000" spcFirstLastPara="1" vertOverflow="ellipsis" vert="horz" wrap="square" anchor="ctr" anchorCtr="1"/>
              <a:lstStyle/>
              <a:p>
                <a:pPr algn="ctr">
                  <a:defRPr lang="en-US" sz="1800" b="0" i="0" u="none" strike="noStrike" kern="1200" baseline="0">
                    <a:ln>
                      <a:noFill/>
                    </a:ln>
                    <a:solidFill>
                      <a:schemeClr val="tx1"/>
                    </a:solidFill>
                    <a:latin typeface="+mn-lt"/>
                    <a:ea typeface="+mn-ea"/>
                    <a:cs typeface="+mn-cs"/>
                  </a:defRPr>
                </a:pPr>
                <a:r>
                  <a:rPr lang="en-IN"/>
                  <a:t>Value ($)</a:t>
                </a:r>
              </a:p>
            </c:rich>
          </c:tx>
          <c:overlay val="0"/>
          <c:spPr>
            <a:noFill/>
            <a:ln>
              <a:noFill/>
            </a:ln>
            <a:effectLst/>
          </c:spPr>
          <c:txPr>
            <a:bodyPr rot="-5400000" spcFirstLastPara="1" vertOverflow="ellipsis" vert="horz" wrap="square" anchor="ctr" anchorCtr="1"/>
            <a:lstStyle/>
            <a:p>
              <a:pPr algn="ctr">
                <a:defRPr lang="en-US" sz="18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crossAx val="1885725791"/>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lgn="ctr">
        <a:defRPr lang="en-US" sz="18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r>
              <a:rPr lang="en-US" sz="2400" b="1" i="0" u="none" strike="noStrike" kern="1200" spc="0" baseline="0">
                <a:ln>
                  <a:noFill/>
                </a:ln>
                <a:solidFill>
                  <a:sysClr val="windowText" lastClr="000000"/>
                </a:solidFill>
                <a:latin typeface="+mj-lt"/>
                <a:ea typeface="+mn-ea"/>
                <a:cs typeface="+mn-cs"/>
              </a:rPr>
              <a:t>Closing Price forecast</a:t>
            </a:r>
          </a:p>
        </c:rich>
      </c:tx>
      <c:layout>
        <c:manualLayout>
          <c:xMode val="edge"/>
          <c:yMode val="edge"/>
          <c:x val="0.38232454299511542"/>
          <c:y val="3.6993430316320047E-2"/>
        </c:manualLayout>
      </c:layout>
      <c:overlay val="0"/>
      <c:spPr>
        <a:noFill/>
        <a:ln>
          <a:noFill/>
        </a:ln>
        <a:effectLst/>
      </c:spPr>
      <c:txPr>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endParaRPr lang="en-US"/>
        </a:p>
      </c:txPr>
    </c:title>
    <c:autoTitleDeleted val="0"/>
    <c:plotArea>
      <c:layout>
        <c:manualLayout>
          <c:layoutTarget val="inner"/>
          <c:xMode val="edge"/>
          <c:yMode val="edge"/>
          <c:x val="9.9631860316054296E-2"/>
          <c:y val="0.18016554406602789"/>
          <c:w val="0.82535580248730589"/>
          <c:h val="0.59698204041388836"/>
        </c:manualLayout>
      </c:layout>
      <c:lineChart>
        <c:grouping val="standard"/>
        <c:varyColors val="0"/>
        <c:ser>
          <c:idx val="0"/>
          <c:order val="0"/>
          <c:tx>
            <c:strRef>
              <c:f>Sheet4!$B$1</c:f>
              <c:strCache>
                <c:ptCount val="1"/>
                <c:pt idx="0">
                  <c:v>Close</c:v>
                </c:pt>
              </c:strCache>
            </c:strRef>
          </c:tx>
          <c:spPr>
            <a:ln w="28575" cap="rnd">
              <a:solidFill>
                <a:schemeClr val="accent1"/>
              </a:solidFill>
              <a:round/>
            </a:ln>
            <a:effectLst/>
          </c:spPr>
          <c:marker>
            <c:symbol val="none"/>
          </c:marker>
          <c:val>
            <c:numRef>
              <c:f>Sheet4!$B$2:$B$13</c:f>
              <c:numCache>
                <c:formatCode>General</c:formatCode>
                <c:ptCount val="12"/>
                <c:pt idx="0">
                  <c:v>140.1000061</c:v>
                </c:pt>
                <c:pt idx="1">
                  <c:v>145.53999329999999</c:v>
                </c:pt>
                <c:pt idx="2">
                  <c:v>145.9400024</c:v>
                </c:pt>
                <c:pt idx="3">
                  <c:v>142.5500031</c:v>
                </c:pt>
                <c:pt idx="4">
                  <c:v>136.38000489999999</c:v>
                </c:pt>
                <c:pt idx="5">
                  <c:v>131.3999939</c:v>
                </c:pt>
                <c:pt idx="6">
                  <c:v>139.78999329999999</c:v>
                </c:pt>
                <c:pt idx="7">
                  <c:v>148.7400055</c:v>
                </c:pt>
                <c:pt idx="8">
                  <c:v>150.86999510000001</c:v>
                </c:pt>
              </c:numCache>
            </c:numRef>
          </c:val>
          <c:smooth val="0"/>
          <c:extLst>
            <c:ext xmlns:c16="http://schemas.microsoft.com/office/drawing/2014/chart" uri="{C3380CC4-5D6E-409C-BE32-E72D297353CC}">
              <c16:uniqueId val="{00000000-60D5-43DD-94CF-BC8E5BE0108E}"/>
            </c:ext>
          </c:extLst>
        </c:ser>
        <c:ser>
          <c:idx val="1"/>
          <c:order val="1"/>
          <c:tx>
            <c:strRef>
              <c:f>Sheet4!$C$1</c:f>
              <c:strCache>
                <c:ptCount val="1"/>
                <c:pt idx="0">
                  <c:v>Forecast(Close)</c:v>
                </c:pt>
              </c:strCache>
            </c:strRef>
          </c:tx>
          <c:spPr>
            <a:ln w="25400" cap="rnd">
              <a:solidFill>
                <a:schemeClr val="accent2"/>
              </a:solidFill>
              <a:round/>
            </a:ln>
            <a:effectLst/>
          </c:spPr>
          <c:marker>
            <c:symbol val="none"/>
          </c:marker>
          <c:cat>
            <c:numRef>
              <c:f>Sheet4!$A$2:$A$13</c:f>
              <c:numCache>
                <c:formatCode>m/d/yyyy</c:formatCode>
                <c:ptCount val="12"/>
                <c:pt idx="0">
                  <c:v>45323</c:v>
                </c:pt>
                <c:pt idx="1">
                  <c:v>45330</c:v>
                </c:pt>
                <c:pt idx="2">
                  <c:v>45337</c:v>
                </c:pt>
                <c:pt idx="3">
                  <c:v>45344</c:v>
                </c:pt>
                <c:pt idx="4">
                  <c:v>45351</c:v>
                </c:pt>
                <c:pt idx="5">
                  <c:v>45358</c:v>
                </c:pt>
                <c:pt idx="6">
                  <c:v>45365</c:v>
                </c:pt>
                <c:pt idx="7">
                  <c:v>45372</c:v>
                </c:pt>
                <c:pt idx="8">
                  <c:v>45379</c:v>
                </c:pt>
                <c:pt idx="9">
                  <c:v>45386</c:v>
                </c:pt>
                <c:pt idx="10">
                  <c:v>45393</c:v>
                </c:pt>
                <c:pt idx="11">
                  <c:v>45400</c:v>
                </c:pt>
              </c:numCache>
            </c:numRef>
          </c:cat>
          <c:val>
            <c:numRef>
              <c:f>Sheet4!$C$2:$C$13</c:f>
              <c:numCache>
                <c:formatCode>General</c:formatCode>
                <c:ptCount val="12"/>
                <c:pt idx="8">
                  <c:v>150.86999510000001</c:v>
                </c:pt>
                <c:pt idx="9">
                  <c:v>151.35716118666667</c:v>
                </c:pt>
                <c:pt idx="10">
                  <c:v>151.84432727333336</c:v>
                </c:pt>
                <c:pt idx="11">
                  <c:v>152.33149336000002</c:v>
                </c:pt>
              </c:numCache>
            </c:numRef>
          </c:val>
          <c:smooth val="0"/>
          <c:extLst>
            <c:ext xmlns:c16="http://schemas.microsoft.com/office/drawing/2014/chart" uri="{C3380CC4-5D6E-409C-BE32-E72D297353CC}">
              <c16:uniqueId val="{00000001-60D5-43DD-94CF-BC8E5BE0108E}"/>
            </c:ext>
          </c:extLst>
        </c:ser>
        <c:ser>
          <c:idx val="2"/>
          <c:order val="2"/>
          <c:tx>
            <c:strRef>
              <c:f>Sheet4!$D$1</c:f>
              <c:strCache>
                <c:ptCount val="1"/>
                <c:pt idx="0">
                  <c:v>Lower Confidence Bound(Close)</c:v>
                </c:pt>
              </c:strCache>
            </c:strRef>
          </c:tx>
          <c:spPr>
            <a:ln w="12700" cap="rnd">
              <a:solidFill>
                <a:srgbClr val="ED7D31"/>
              </a:solidFill>
              <a:prstDash val="solid"/>
              <a:round/>
            </a:ln>
            <a:effectLst/>
          </c:spPr>
          <c:marker>
            <c:symbol val="none"/>
          </c:marker>
          <c:cat>
            <c:numRef>
              <c:f>Sheet4!$A$2:$A$13</c:f>
              <c:numCache>
                <c:formatCode>m/d/yyyy</c:formatCode>
                <c:ptCount val="12"/>
                <c:pt idx="0">
                  <c:v>45323</c:v>
                </c:pt>
                <c:pt idx="1">
                  <c:v>45330</c:v>
                </c:pt>
                <c:pt idx="2">
                  <c:v>45337</c:v>
                </c:pt>
                <c:pt idx="3">
                  <c:v>45344</c:v>
                </c:pt>
                <c:pt idx="4">
                  <c:v>45351</c:v>
                </c:pt>
                <c:pt idx="5">
                  <c:v>45358</c:v>
                </c:pt>
                <c:pt idx="6">
                  <c:v>45365</c:v>
                </c:pt>
                <c:pt idx="7">
                  <c:v>45372</c:v>
                </c:pt>
                <c:pt idx="8">
                  <c:v>45379</c:v>
                </c:pt>
                <c:pt idx="9">
                  <c:v>45386</c:v>
                </c:pt>
                <c:pt idx="10">
                  <c:v>45393</c:v>
                </c:pt>
                <c:pt idx="11">
                  <c:v>45400</c:v>
                </c:pt>
              </c:numCache>
            </c:numRef>
          </c:cat>
          <c:val>
            <c:numRef>
              <c:f>Sheet4!$D$2:$D$13</c:f>
              <c:numCache>
                <c:formatCode>General</c:formatCode>
                <c:ptCount val="12"/>
                <c:pt idx="8" formatCode="0.00">
                  <c:v>150.86999510000001</c:v>
                </c:pt>
                <c:pt idx="9" formatCode="0.00">
                  <c:v>140.62579392242961</c:v>
                </c:pt>
                <c:pt idx="10" formatCode="0.00">
                  <c:v>136.67546847000207</c:v>
                </c:pt>
                <c:pt idx="11" formatCode="0.00">
                  <c:v>133.75041371549764</c:v>
                </c:pt>
              </c:numCache>
            </c:numRef>
          </c:val>
          <c:smooth val="0"/>
          <c:extLst>
            <c:ext xmlns:c16="http://schemas.microsoft.com/office/drawing/2014/chart" uri="{C3380CC4-5D6E-409C-BE32-E72D297353CC}">
              <c16:uniqueId val="{00000002-60D5-43DD-94CF-BC8E5BE0108E}"/>
            </c:ext>
          </c:extLst>
        </c:ser>
        <c:ser>
          <c:idx val="3"/>
          <c:order val="3"/>
          <c:tx>
            <c:strRef>
              <c:f>Sheet4!$E$1</c:f>
              <c:strCache>
                <c:ptCount val="1"/>
                <c:pt idx="0">
                  <c:v>Upper Confidence Bound(Close)</c:v>
                </c:pt>
              </c:strCache>
            </c:strRef>
          </c:tx>
          <c:spPr>
            <a:ln w="12700" cap="rnd">
              <a:solidFill>
                <a:srgbClr val="ED7D31"/>
              </a:solidFill>
              <a:prstDash val="solid"/>
              <a:round/>
            </a:ln>
            <a:effectLst/>
          </c:spPr>
          <c:marker>
            <c:symbol val="none"/>
          </c:marker>
          <c:cat>
            <c:numRef>
              <c:f>Sheet4!$A$2:$A$13</c:f>
              <c:numCache>
                <c:formatCode>m/d/yyyy</c:formatCode>
                <c:ptCount val="12"/>
                <c:pt idx="0">
                  <c:v>45323</c:v>
                </c:pt>
                <c:pt idx="1">
                  <c:v>45330</c:v>
                </c:pt>
                <c:pt idx="2">
                  <c:v>45337</c:v>
                </c:pt>
                <c:pt idx="3">
                  <c:v>45344</c:v>
                </c:pt>
                <c:pt idx="4">
                  <c:v>45351</c:v>
                </c:pt>
                <c:pt idx="5">
                  <c:v>45358</c:v>
                </c:pt>
                <c:pt idx="6">
                  <c:v>45365</c:v>
                </c:pt>
                <c:pt idx="7">
                  <c:v>45372</c:v>
                </c:pt>
                <c:pt idx="8">
                  <c:v>45379</c:v>
                </c:pt>
                <c:pt idx="9">
                  <c:v>45386</c:v>
                </c:pt>
                <c:pt idx="10">
                  <c:v>45393</c:v>
                </c:pt>
                <c:pt idx="11">
                  <c:v>45400</c:v>
                </c:pt>
              </c:numCache>
            </c:numRef>
          </c:cat>
          <c:val>
            <c:numRef>
              <c:f>Sheet4!$E$2:$E$13</c:f>
              <c:numCache>
                <c:formatCode>General</c:formatCode>
                <c:ptCount val="12"/>
                <c:pt idx="8" formatCode="0.00">
                  <c:v>150.86999510000001</c:v>
                </c:pt>
                <c:pt idx="9" formatCode="0.00">
                  <c:v>162.08852845090374</c:v>
                </c:pt>
                <c:pt idx="10" formatCode="0.00">
                  <c:v>167.01318607666465</c:v>
                </c:pt>
                <c:pt idx="11" formatCode="0.00">
                  <c:v>170.91257300450241</c:v>
                </c:pt>
              </c:numCache>
            </c:numRef>
          </c:val>
          <c:smooth val="0"/>
          <c:extLst>
            <c:ext xmlns:c16="http://schemas.microsoft.com/office/drawing/2014/chart" uri="{C3380CC4-5D6E-409C-BE32-E72D297353CC}">
              <c16:uniqueId val="{00000003-60D5-43DD-94CF-BC8E5BE0108E}"/>
            </c:ext>
          </c:extLst>
        </c:ser>
        <c:dLbls>
          <c:showLegendKey val="0"/>
          <c:showVal val="0"/>
          <c:showCatName val="0"/>
          <c:showSerName val="0"/>
          <c:showPercent val="0"/>
          <c:showBubbleSize val="0"/>
        </c:dLbls>
        <c:smooth val="0"/>
        <c:axId val="594419808"/>
        <c:axId val="594420168"/>
      </c:lineChart>
      <c:dateAx>
        <c:axId val="594419808"/>
        <c:scaling>
          <c:orientation val="minMax"/>
        </c:scaling>
        <c:delete val="0"/>
        <c:axPos val="b"/>
        <c:minorGridlines>
          <c:spPr>
            <a:ln w="9525" cap="flat" cmpd="sng" algn="ctr">
              <a:solidFill>
                <a:srgbClr val="D9D9D9"/>
              </a:solidFill>
              <a:round/>
            </a:ln>
            <a:effectLst/>
          </c:spPr>
        </c:minorGridlines>
        <c:title>
          <c:tx>
            <c:rich>
              <a:bodyPr rot="0" spcFirstLastPara="1" vertOverflow="ellipsis" vert="horz" wrap="square" anchor="ctr" anchorCtr="1"/>
              <a:lstStyle/>
              <a:p>
                <a:pPr algn="ctr" rtl="0">
                  <a:defRPr lang="en-US" sz="2000" b="0" i="0" u="none" strike="noStrike" kern="1200" baseline="0">
                    <a:ln>
                      <a:noFill/>
                    </a:ln>
                    <a:solidFill>
                      <a:sysClr val="windowText" lastClr="000000"/>
                    </a:solidFill>
                    <a:latin typeface="+mn-lt"/>
                    <a:ea typeface="+mn-ea"/>
                    <a:cs typeface="+mn-cs"/>
                  </a:defRPr>
                </a:pPr>
                <a:r>
                  <a:rPr lang="en-US" sz="2000" b="0" i="0" u="none" strike="noStrike" kern="1200" baseline="0">
                    <a:ln>
                      <a:noFill/>
                    </a:ln>
                    <a:solidFill>
                      <a:sysClr val="windowText" lastClr="000000"/>
                    </a:solidFill>
                    <a:latin typeface="+mn-lt"/>
                    <a:ea typeface="+mn-ea"/>
                    <a:cs typeface="+mn-cs"/>
                  </a:rPr>
                  <a:t>Dates</a:t>
                </a:r>
              </a:p>
            </c:rich>
          </c:tx>
          <c:overlay val="0"/>
          <c:spPr>
            <a:noFill/>
            <a:ln>
              <a:noFill/>
            </a:ln>
            <a:effectLst/>
          </c:spPr>
          <c:txPr>
            <a:bodyPr rot="0" spcFirstLastPara="1" vertOverflow="ellipsis" vert="horz" wrap="square" anchor="ctr" anchorCtr="1"/>
            <a:lstStyle/>
            <a:p>
              <a:pPr algn="ctr" rtl="0">
                <a:defRPr lang="en-US" sz="2000" b="0" i="0" u="none" strike="noStrike" kern="1200" baseline="0">
                  <a:ln>
                    <a:noFill/>
                  </a:ln>
                  <a:solidFill>
                    <a:sysClr val="windowText" lastClr="000000"/>
                  </a:solidFill>
                  <a:latin typeface="+mn-lt"/>
                  <a:ea typeface="+mn-ea"/>
                  <a:cs typeface="+mn-cs"/>
                </a:defRPr>
              </a:pPr>
              <a:endParaRPr lang="en-US"/>
            </a:p>
          </c:txPr>
        </c:title>
        <c:numFmt formatCode="m/d/yyyy" sourceLinked="0"/>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lgn="ctr">
              <a:defRPr lang="en-US" sz="1800" b="0" i="0" u="none" strike="noStrike" kern="1200" baseline="0">
                <a:ln>
                  <a:noFill/>
                </a:ln>
                <a:solidFill>
                  <a:schemeClr val="tx1"/>
                </a:solidFill>
                <a:latin typeface="+mn-lt"/>
                <a:ea typeface="+mn-ea"/>
                <a:cs typeface="+mn-cs"/>
              </a:defRPr>
            </a:pPr>
            <a:endParaRPr lang="en-US"/>
          </a:p>
        </c:txPr>
        <c:crossAx val="594420168"/>
        <c:crosses val="autoZero"/>
        <c:auto val="0"/>
        <c:lblOffset val="100"/>
        <c:baseTimeUnit val="days"/>
      </c:dateAx>
      <c:valAx>
        <c:axId val="594420168"/>
        <c:scaling>
          <c:orientation val="minMax"/>
          <c:min val="80"/>
        </c:scaling>
        <c:delete val="0"/>
        <c:axPos val="l"/>
        <c:title>
          <c:tx>
            <c:rich>
              <a:bodyPr rot="-5400000" spcFirstLastPara="1" vertOverflow="ellipsis" vert="horz" wrap="square" anchor="ctr" anchorCtr="1"/>
              <a:lstStyle/>
              <a:p>
                <a:pPr algn="ctr" rtl="0">
                  <a:defRPr lang="en-US" sz="2000" b="0" i="0" u="none" strike="noStrike" kern="1200" baseline="0">
                    <a:ln>
                      <a:noFill/>
                    </a:ln>
                    <a:solidFill>
                      <a:sysClr val="windowText" lastClr="000000"/>
                    </a:solidFill>
                    <a:latin typeface="+mn-lt"/>
                    <a:ea typeface="+mn-ea"/>
                    <a:cs typeface="+mn-cs"/>
                  </a:defRPr>
                </a:pPr>
                <a:r>
                  <a:rPr lang="en-US" sz="2000" b="0" i="0" u="none" strike="noStrike" kern="1200" baseline="0">
                    <a:ln>
                      <a:noFill/>
                    </a:ln>
                    <a:solidFill>
                      <a:sysClr val="windowText" lastClr="000000"/>
                    </a:solidFill>
                    <a:latin typeface="+mn-lt"/>
                    <a:ea typeface="+mn-ea"/>
                    <a:cs typeface="+mn-cs"/>
                  </a:rPr>
                  <a:t>Closing Values</a:t>
                </a:r>
              </a:p>
            </c:rich>
          </c:tx>
          <c:overlay val="0"/>
          <c:spPr>
            <a:noFill/>
            <a:ln>
              <a:noFill/>
            </a:ln>
            <a:effectLst/>
          </c:spPr>
          <c:txPr>
            <a:bodyPr rot="-5400000" spcFirstLastPara="1" vertOverflow="ellipsis" vert="horz" wrap="square" anchor="ctr" anchorCtr="1"/>
            <a:lstStyle/>
            <a:p>
              <a:pPr algn="ctr" rtl="0">
                <a:defRPr lang="en-US" sz="2000" b="0" i="0" u="none" strike="noStrike" kern="1200" baseline="0">
                  <a:ln>
                    <a:noFill/>
                  </a:ln>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crossAx val="594419808"/>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lgn="ctr" rtl="0">
        <a:defRPr lang="en-US" sz="18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[Google Stock analysis 20-24.xlsx]Sheet1!PivotTable2</c:name>
    <c:fmtId val="21"/>
  </c:pivotSource>
  <c:chart>
    <c:title>
      <c:tx>
        <c:rich>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r>
              <a:rPr lang="en-US" sz="2400" b="1" i="0" u="none" strike="noStrike" kern="1200" spc="0" baseline="0">
                <a:ln>
                  <a:noFill/>
                </a:ln>
                <a:solidFill>
                  <a:sysClr val="windowText" lastClr="000000"/>
                </a:solidFill>
                <a:latin typeface="+mj-lt"/>
                <a:ea typeface="+mn-ea"/>
                <a:cs typeface="+mn-cs"/>
              </a:rPr>
              <a:t>High Vs Low</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ln>
                <a:noFill/>
              </a:ln>
              <a:solidFill>
                <a:sysClr val="windowText" lastClr="0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707237432141062E-2"/>
          <c:y val="9.2705336067127275E-2"/>
          <c:w val="0.83866859576626041"/>
          <c:h val="0.7892173705559532"/>
        </c:manualLayout>
      </c:layout>
      <c:barChart>
        <c:barDir val="bar"/>
        <c:grouping val="clustered"/>
        <c:varyColors val="0"/>
        <c:ser>
          <c:idx val="0"/>
          <c:order val="0"/>
          <c:tx>
            <c:strRef>
              <c:f>Sheet1!$H$6</c:f>
              <c:strCache>
                <c:ptCount val="1"/>
                <c:pt idx="0">
                  <c:v>Max of High</c:v>
                </c:pt>
              </c:strCache>
            </c:strRef>
          </c:tx>
          <c:spPr>
            <a:solidFill>
              <a:schemeClr val="accent1"/>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Sheet1!$G$7:$G$14</c:f>
              <c:strCache>
                <c:ptCount val="7"/>
                <c:pt idx="0">
                  <c:v>Feb</c:v>
                </c:pt>
                <c:pt idx="1">
                  <c:v>Mar</c:v>
                </c:pt>
                <c:pt idx="2">
                  <c:v>May</c:v>
                </c:pt>
                <c:pt idx="3">
                  <c:v>Jun</c:v>
                </c:pt>
                <c:pt idx="4">
                  <c:v>Aug</c:v>
                </c:pt>
                <c:pt idx="5">
                  <c:v>Oct</c:v>
                </c:pt>
                <c:pt idx="6">
                  <c:v>Nov</c:v>
                </c:pt>
              </c:strCache>
            </c:strRef>
          </c:cat>
          <c:val>
            <c:numRef>
              <c:f>Sheet1!$H$7:$H$14</c:f>
              <c:numCache>
                <c:formatCode>General</c:formatCode>
                <c:ptCount val="7"/>
                <c:pt idx="0">
                  <c:v>145.36000060000001</c:v>
                </c:pt>
                <c:pt idx="1">
                  <c:v>133.58000179999999</c:v>
                </c:pt>
                <c:pt idx="2">
                  <c:v>168.13999939999999</c:v>
                </c:pt>
                <c:pt idx="3">
                  <c:v>177.1499939</c:v>
                </c:pt>
                <c:pt idx="4">
                  <c:v>160.57000729999999</c:v>
                </c:pt>
                <c:pt idx="5">
                  <c:v>168.22999569999999</c:v>
                </c:pt>
                <c:pt idx="6">
                  <c:v>176.9400024</c:v>
                </c:pt>
              </c:numCache>
            </c:numRef>
          </c:val>
          <c:extLst>
            <c:ext xmlns:c16="http://schemas.microsoft.com/office/drawing/2014/chart" uri="{C3380CC4-5D6E-409C-BE32-E72D297353CC}">
              <c16:uniqueId val="{00000000-6542-4F6B-8F0D-77E6F2D23CA3}"/>
            </c:ext>
          </c:extLst>
        </c:ser>
        <c:ser>
          <c:idx val="1"/>
          <c:order val="1"/>
          <c:tx>
            <c:strRef>
              <c:f>Sheet1!$I$6</c:f>
              <c:strCache>
                <c:ptCount val="1"/>
                <c:pt idx="0">
                  <c:v>Max of Low</c:v>
                </c:pt>
              </c:strCache>
            </c:strRef>
          </c:tx>
          <c:spPr>
            <a:solidFill>
              <a:schemeClr val="accent2"/>
            </a:solidFill>
            <a:ln>
              <a:noFill/>
            </a:ln>
            <a:effectLst/>
          </c:spPr>
          <c:invertIfNegative val="0"/>
          <c:dLbls>
            <c:numFmt formatCode="[$$-409]#,##0.00" sourceLinked="0"/>
            <c:spPr>
              <a:noFill/>
              <a:ln>
                <a:noFill/>
              </a:ln>
              <a:effectLst/>
            </c:spPr>
            <c:txPr>
              <a:bodyPr rot="0" spcFirstLastPara="1" vertOverflow="ellipsis" vert="horz" wrap="square" lIns="38100" tIns="19050" rIns="38100" bIns="19050" anchor="ctr" anchorCtr="1">
                <a:spAutoFit/>
              </a:bodyPr>
              <a:lstStyle/>
              <a:p>
                <a:pPr>
                  <a:defRPr lang="en-US" sz="18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Sheet1!$G$7:$G$14</c:f>
              <c:strCache>
                <c:ptCount val="7"/>
                <c:pt idx="0">
                  <c:v>Feb</c:v>
                </c:pt>
                <c:pt idx="1">
                  <c:v>Mar</c:v>
                </c:pt>
                <c:pt idx="2">
                  <c:v>May</c:v>
                </c:pt>
                <c:pt idx="3">
                  <c:v>Jun</c:v>
                </c:pt>
                <c:pt idx="4">
                  <c:v>Aug</c:v>
                </c:pt>
                <c:pt idx="5">
                  <c:v>Oct</c:v>
                </c:pt>
                <c:pt idx="6">
                  <c:v>Nov</c:v>
                </c:pt>
              </c:strCache>
            </c:strRef>
          </c:cat>
          <c:val>
            <c:numRef>
              <c:f>Sheet1!$I$7:$I$14</c:f>
              <c:numCache>
                <c:formatCode>General</c:formatCode>
                <c:ptCount val="7"/>
                <c:pt idx="0">
                  <c:v>143.1900024</c:v>
                </c:pt>
                <c:pt idx="1">
                  <c:v>130.8500061</c:v>
                </c:pt>
                <c:pt idx="2">
                  <c:v>166.02999879999999</c:v>
                </c:pt>
                <c:pt idx="3">
                  <c:v>175.75</c:v>
                </c:pt>
                <c:pt idx="4">
                  <c:v>156.4100037</c:v>
                </c:pt>
                <c:pt idx="5">
                  <c:v>165.47999569999999</c:v>
                </c:pt>
                <c:pt idx="6">
                  <c:v>173.5</c:v>
                </c:pt>
              </c:numCache>
            </c:numRef>
          </c:val>
          <c:extLst>
            <c:ext xmlns:c16="http://schemas.microsoft.com/office/drawing/2014/chart" uri="{C3380CC4-5D6E-409C-BE32-E72D297353CC}">
              <c16:uniqueId val="{00000001-6542-4F6B-8F0D-77E6F2D23CA3}"/>
            </c:ext>
          </c:extLst>
        </c:ser>
        <c:dLbls>
          <c:dLblPos val="outEnd"/>
          <c:showLegendKey val="0"/>
          <c:showVal val="1"/>
          <c:showCatName val="0"/>
          <c:showSerName val="0"/>
          <c:showPercent val="0"/>
          <c:showBubbleSize val="0"/>
        </c:dLbls>
        <c:gapWidth val="182"/>
        <c:axId val="1842601775"/>
        <c:axId val="1842600527"/>
      </c:barChart>
      <c:catAx>
        <c:axId val="18426017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rtl="0">
                  <a:defRPr lang="en-US" sz="1800" b="0" i="0" u="none" strike="noStrike" kern="1200" baseline="0">
                    <a:ln>
                      <a:noFill/>
                    </a:ln>
                    <a:solidFill>
                      <a:sysClr val="windowText" lastClr="000000"/>
                    </a:solidFill>
                    <a:latin typeface="+mn-lt"/>
                    <a:ea typeface="+mn-ea"/>
                    <a:cs typeface="+mn-cs"/>
                  </a:defRPr>
                </a:pPr>
                <a:r>
                  <a:rPr lang="en-US" sz="1800" b="0" i="0" u="none" strike="noStrike" kern="1200" baseline="0">
                    <a:ln>
                      <a:noFill/>
                    </a:ln>
                    <a:solidFill>
                      <a:sysClr val="windowText" lastClr="000000"/>
                    </a:solidFill>
                    <a:latin typeface="+mn-lt"/>
                    <a:ea typeface="+mn-ea"/>
                    <a:cs typeface="+mn-cs"/>
                  </a:rPr>
                  <a:t>Time</a:t>
                </a:r>
              </a:p>
            </c:rich>
          </c:tx>
          <c:overlay val="0"/>
          <c:spPr>
            <a:noFill/>
            <a:ln>
              <a:noFill/>
            </a:ln>
            <a:effectLst/>
          </c:spPr>
          <c:txPr>
            <a:bodyPr rot="-5400000" spcFirstLastPara="1" vertOverflow="ellipsis" vert="horz" wrap="square" anchor="ctr" anchorCtr="1"/>
            <a:lstStyle/>
            <a:p>
              <a:pPr algn="ctr" rtl="0">
                <a:defRPr lang="en-US" sz="1800" b="0" i="0" u="none" strike="noStrike" kern="1200" baseline="0">
                  <a:ln>
                    <a:noFill/>
                  </a:ln>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crossAx val="1842600527"/>
        <c:crosses val="autoZero"/>
        <c:auto val="1"/>
        <c:lblAlgn val="ctr"/>
        <c:lblOffset val="100"/>
        <c:noMultiLvlLbl val="0"/>
      </c:catAx>
      <c:valAx>
        <c:axId val="1842600527"/>
        <c:scaling>
          <c:orientation val="minMax"/>
        </c:scaling>
        <c:delete val="0"/>
        <c:axPos val="b"/>
        <c:majorGridlines>
          <c:spPr>
            <a:ln w="9525" cap="flat" cmpd="sng" algn="ctr">
              <a:solidFill>
                <a:srgbClr val="D9D9D9"/>
              </a:solidFill>
              <a:round/>
            </a:ln>
            <a:effectLst/>
          </c:spPr>
        </c:majorGridlines>
        <c:title>
          <c:tx>
            <c:rich>
              <a:bodyPr rot="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r>
                  <a:rPr lang="en-IN" sz="1800" b="0" i="0" u="none" strike="noStrike" kern="1200" baseline="0">
                    <a:ln>
                      <a:noFill/>
                    </a:ln>
                    <a:solidFill>
                      <a:sysClr val="windowText" lastClr="000000"/>
                    </a:solidFill>
                  </a:rPr>
                  <a:t>Value ($)</a:t>
                </a:r>
              </a:p>
            </c:rich>
          </c:tx>
          <c:overlay val="0"/>
          <c:spPr>
            <a:noFill/>
            <a:ln>
              <a:noFill/>
            </a:ln>
            <a:effectLst/>
          </c:spPr>
          <c:txPr>
            <a:bodyPr rot="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lang="en-US" sz="1800" b="0" i="0" u="none" strike="noStrike" kern="1200" baseline="0">
                <a:ln>
                  <a:noFill/>
                </a:ln>
                <a:solidFill>
                  <a:schemeClr val="tx1"/>
                </a:solidFill>
                <a:latin typeface="+mn-lt"/>
                <a:ea typeface="+mn-ea"/>
                <a:cs typeface="+mn-cs"/>
              </a:defRPr>
            </a:pPr>
            <a:endParaRPr lang="en-US"/>
          </a:p>
        </c:txPr>
        <c:crossAx val="1842601775"/>
        <c:crosses val="autoZero"/>
        <c:crossBetween val="between"/>
      </c:valAx>
      <c:spPr>
        <a:noFill/>
        <a:ln>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lgn="ctr" rtl="0">
        <a:defRPr lang="en-US" sz="18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chart" Target="../charts/chart4.xml"/><Relationship Id="rId7" Type="http://schemas.openxmlformats.org/officeDocument/2006/relationships/image" Target="../media/image8.sv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image" Target="../media/image7.png"/><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image" Target="../media/image10.sv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347662</xdr:colOff>
      <xdr:row>1240</xdr:row>
      <xdr:rowOff>14287</xdr:rowOff>
    </xdr:from>
    <xdr:to>
      <xdr:col>8</xdr:col>
      <xdr:colOff>204787</xdr:colOff>
      <xdr:row>1254</xdr:row>
      <xdr:rowOff>90487</xdr:rowOff>
    </xdr:to>
    <xdr:graphicFrame macro="">
      <xdr:nvGraphicFramePr>
        <xdr:cNvPr id="5" name="Chart 4">
          <a:extLst>
            <a:ext uri="{FF2B5EF4-FFF2-40B4-BE49-F238E27FC236}">
              <a16:creationId xmlns:a16="http://schemas.microsoft.com/office/drawing/2014/main" id="{C52168FC-DB70-4B91-8F02-CE2F80778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16</xdr:col>
      <xdr:colOff>387858</xdr:colOff>
      <xdr:row>42</xdr:row>
      <xdr:rowOff>119080</xdr:rowOff>
    </xdr:to>
    <xdr:graphicFrame macro="">
      <xdr:nvGraphicFramePr>
        <xdr:cNvPr id="23" name="Chart 22">
          <a:extLst>
            <a:ext uri="{FF2B5EF4-FFF2-40B4-BE49-F238E27FC236}">
              <a16:creationId xmlns:a16="http://schemas.microsoft.com/office/drawing/2014/main" id="{E94706DD-7A4D-44E6-9298-D77F73C91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16</xdr:col>
      <xdr:colOff>465582</xdr:colOff>
      <xdr:row>16</xdr:row>
      <xdr:rowOff>152400</xdr:rowOff>
    </xdr:from>
    <xdr:to>
      <xdr:col>18</xdr:col>
      <xdr:colOff>9692640</xdr:colOff>
      <xdr:row>42</xdr:row>
      <xdr:rowOff>119698</xdr:rowOff>
    </xdr:to>
    <xdr:graphicFrame macro="">
      <xdr:nvGraphicFramePr>
        <xdr:cNvPr id="24" name="Chart 23">
          <a:extLst>
            <a:ext uri="{FF2B5EF4-FFF2-40B4-BE49-F238E27FC236}">
              <a16:creationId xmlns:a16="http://schemas.microsoft.com/office/drawing/2014/main" id="{10F7D1E5-E8D4-453D-A9D3-9EEFF2851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435102</xdr:colOff>
      <xdr:row>6</xdr:row>
      <xdr:rowOff>76200</xdr:rowOff>
    </xdr:from>
    <xdr:to>
      <xdr:col>18</xdr:col>
      <xdr:colOff>9582150</xdr:colOff>
      <xdr:row>16</xdr:row>
      <xdr:rowOff>91440</xdr:rowOff>
    </xdr:to>
    <mc:AlternateContent xmlns:mc="http://schemas.openxmlformats.org/markup-compatibility/2006" xmlns:tsle="http://schemas.microsoft.com/office/drawing/2012/timeslicer">
      <mc:Choice Requires="tsle">
        <xdr:graphicFrame macro="">
          <xdr:nvGraphicFramePr>
            <xdr:cNvPr id="25" name="Date 1">
              <a:extLst>
                <a:ext uri="{FF2B5EF4-FFF2-40B4-BE49-F238E27FC236}">
                  <a16:creationId xmlns:a16="http://schemas.microsoft.com/office/drawing/2014/main" id="{A82E6042-A0EA-4230-986E-F1CF06B9A5F0}"/>
                </a:ext>
              </a:extLst>
            </xdr:cNvPr>
            <xdr:cNvGraphicFramePr>
              <a:graphicFrameLocks/>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10188702" y="2148840"/>
              <a:ext cx="10366248" cy="1844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18</xdr:col>
      <xdr:colOff>9757410</xdr:colOff>
      <xdr:row>16</xdr:row>
      <xdr:rowOff>114300</xdr:rowOff>
    </xdr:from>
    <xdr:to>
      <xdr:col>36</xdr:col>
      <xdr:colOff>182880</xdr:colOff>
      <xdr:row>42</xdr:row>
      <xdr:rowOff>113809</xdr:rowOff>
    </xdr:to>
    <xdr:graphicFrame macro="">
      <xdr:nvGraphicFramePr>
        <xdr:cNvPr id="26" name="Chart 25">
          <a:extLst>
            <a:ext uri="{FF2B5EF4-FFF2-40B4-BE49-F238E27FC236}">
              <a16:creationId xmlns:a16="http://schemas.microsoft.com/office/drawing/2014/main" id="{B28BD93A-45CF-4BA0-8189-FA381EDF0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8435340</xdr:colOff>
      <xdr:row>43</xdr:row>
      <xdr:rowOff>19050</xdr:rowOff>
    </xdr:from>
    <xdr:to>
      <xdr:col>36</xdr:col>
      <xdr:colOff>297180</xdr:colOff>
      <xdr:row>80</xdr:row>
      <xdr:rowOff>160020</xdr:rowOff>
    </xdr:to>
    <xdr:graphicFrame macro="">
      <xdr:nvGraphicFramePr>
        <xdr:cNvPr id="27" name="Chart 26">
          <a:extLst>
            <a:ext uri="{FF2B5EF4-FFF2-40B4-BE49-F238E27FC236}">
              <a16:creationId xmlns:a16="http://schemas.microsoft.com/office/drawing/2014/main" id="{39321A04-F143-45A0-85AA-10B717BE3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148590</xdr:colOff>
      <xdr:row>43</xdr:row>
      <xdr:rowOff>45720</xdr:rowOff>
    </xdr:from>
    <xdr:to>
      <xdr:col>18</xdr:col>
      <xdr:colOff>8321040</xdr:colOff>
      <xdr:row>81</xdr:row>
      <xdr:rowOff>60960</xdr:rowOff>
    </xdr:to>
    <xdr:graphicFrame macro="">
      <xdr:nvGraphicFramePr>
        <xdr:cNvPr id="28" name="Chart 27">
          <a:extLst>
            <a:ext uri="{FF2B5EF4-FFF2-40B4-BE49-F238E27FC236}">
              <a16:creationId xmlns:a16="http://schemas.microsoft.com/office/drawing/2014/main" id="{BAE0AED5-A8BA-4B16-8B83-93C7C864A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15240</xdr:colOff>
      <xdr:row>43</xdr:row>
      <xdr:rowOff>76200</xdr:rowOff>
    </xdr:from>
    <xdr:to>
      <xdr:col>9</xdr:col>
      <xdr:colOff>64770</xdr:colOff>
      <xdr:row>81</xdr:row>
      <xdr:rowOff>38100</xdr:rowOff>
    </xdr:to>
    <mc:AlternateContent xmlns:mc="http://schemas.openxmlformats.org/markup-compatibility/2006" xmlns:a14="http://schemas.microsoft.com/office/drawing/2010/main">
      <mc:Choice Requires="a14">
        <xdr:graphicFrame macro="">
          <xdr:nvGraphicFramePr>
            <xdr:cNvPr id="29" name="Days">
              <a:extLst>
                <a:ext uri="{FF2B5EF4-FFF2-40B4-BE49-F238E27FC236}">
                  <a16:creationId xmlns:a16="http://schemas.microsoft.com/office/drawing/2014/main" id="{46F310F4-13DD-49DD-8138-ECAF4FE8D5B4}"/>
                </a:ext>
              </a:extLst>
            </xdr:cNvPr>
            <xdr:cNvGraphicFramePr/>
          </xdr:nvGraphicFramePr>
          <xdr:xfrm>
            <a:off x="0" y="0"/>
            <a:ext cx="0" cy="0"/>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15240" y="9890760"/>
              <a:ext cx="5535930" cy="654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xdr:colOff>
      <xdr:row>6</xdr:row>
      <xdr:rowOff>133350</xdr:rowOff>
    </xdr:from>
    <xdr:to>
      <xdr:col>16</xdr:col>
      <xdr:colOff>319278</xdr:colOff>
      <xdr:row>16</xdr:row>
      <xdr:rowOff>148590</xdr:rowOff>
    </xdr:to>
    <mc:AlternateContent xmlns:mc="http://schemas.openxmlformats.org/markup-compatibility/2006" xmlns:tsle="http://schemas.microsoft.com/office/drawing/2012/timeslicer">
      <mc:Choice Requires="tsle">
        <xdr:graphicFrame macro="">
          <xdr:nvGraphicFramePr>
            <xdr:cNvPr id="30" name="Date 2">
              <a:extLst>
                <a:ext uri="{FF2B5EF4-FFF2-40B4-BE49-F238E27FC236}">
                  <a16:creationId xmlns:a16="http://schemas.microsoft.com/office/drawing/2014/main" id="{E7BE2F0B-83F9-4C0A-A725-9BD6F3BFBA0C}"/>
                </a:ext>
              </a:extLst>
            </xdr:cNvPr>
            <xdr:cNvGraphicFramePr>
              <a:graphicFrameLocks/>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11430" y="2205990"/>
              <a:ext cx="10061448" cy="1844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18</xdr:col>
      <xdr:colOff>9659112</xdr:colOff>
      <xdr:row>6</xdr:row>
      <xdr:rowOff>19050</xdr:rowOff>
    </xdr:from>
    <xdr:to>
      <xdr:col>36</xdr:col>
      <xdr:colOff>152400</xdr:colOff>
      <xdr:row>16</xdr:row>
      <xdr:rowOff>34290</xdr:rowOff>
    </xdr:to>
    <mc:AlternateContent xmlns:mc="http://schemas.openxmlformats.org/markup-compatibility/2006" xmlns:tsle="http://schemas.microsoft.com/office/drawing/2012/timeslicer">
      <mc:Choice Requires="tsle">
        <xdr:graphicFrame macro="">
          <xdr:nvGraphicFramePr>
            <xdr:cNvPr id="31" name="Date 3">
              <a:extLst>
                <a:ext uri="{FF2B5EF4-FFF2-40B4-BE49-F238E27FC236}">
                  <a16:creationId xmlns:a16="http://schemas.microsoft.com/office/drawing/2014/main" id="{9FD6120E-34F7-4EEA-9835-7A25D20019E1}"/>
                </a:ext>
              </a:extLst>
            </xdr:cNvPr>
            <xdr:cNvGraphicFramePr>
              <a:graphicFrameLocks/>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631912" y="2091690"/>
              <a:ext cx="11006328" cy="18440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oneCell">
    <xdr:from>
      <xdr:col>18</xdr:col>
      <xdr:colOff>7231343</xdr:colOff>
      <xdr:row>43</xdr:row>
      <xdr:rowOff>106643</xdr:rowOff>
    </xdr:from>
    <xdr:to>
      <xdr:col>18</xdr:col>
      <xdr:colOff>8260080</xdr:colOff>
      <xdr:row>48</xdr:row>
      <xdr:rowOff>106680</xdr:rowOff>
    </xdr:to>
    <xdr:pic>
      <xdr:nvPicPr>
        <xdr:cNvPr id="15" name="Graphic 3" descr="Venn diagram with solid fill">
          <a:extLst>
            <a:ext uri="{FF2B5EF4-FFF2-40B4-BE49-F238E27FC236}">
              <a16:creationId xmlns:a16="http://schemas.microsoft.com/office/drawing/2014/main" id="{509B8C87-830A-4310-97F3-33103B66B133}"/>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8204143" y="9921203"/>
          <a:ext cx="1028737" cy="914437"/>
        </a:xfrm>
        <a:prstGeom prst="rect">
          <a:avLst/>
        </a:prstGeom>
      </xdr:spPr>
    </xdr:pic>
    <xdr:clientData/>
  </xdr:twoCellAnchor>
  <xdr:twoCellAnchor editAs="oneCell">
    <xdr:from>
      <xdr:col>14</xdr:col>
      <xdr:colOff>505779</xdr:colOff>
      <xdr:row>17</xdr:row>
      <xdr:rowOff>7620</xdr:rowOff>
    </xdr:from>
    <xdr:to>
      <xdr:col>16</xdr:col>
      <xdr:colOff>243840</xdr:colOff>
      <xdr:row>21</xdr:row>
      <xdr:rowOff>126681</xdr:rowOff>
    </xdr:to>
    <xdr:pic>
      <xdr:nvPicPr>
        <xdr:cNvPr id="13" name="Graphic 1" descr="Statistics with solid fill">
          <a:extLst>
            <a:ext uri="{FF2B5EF4-FFF2-40B4-BE49-F238E27FC236}">
              <a16:creationId xmlns:a16="http://schemas.microsoft.com/office/drawing/2014/main" id="{60C3AF68-B509-4A53-A12D-5F3F02F8525D}"/>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040179" y="4091940"/>
          <a:ext cx="957261" cy="850581"/>
        </a:xfrm>
        <a:prstGeom prst="rect">
          <a:avLst/>
        </a:prstGeom>
      </xdr:spPr>
    </xdr:pic>
    <xdr:clientData/>
  </xdr:twoCellAnchor>
</xdr:wsDr>
</file>

<file path=xl/drawings/drawing3.xml><?xml version="1.0" encoding="utf-8"?>
<c:userShapes xmlns:c="http://schemas.openxmlformats.org/drawingml/2006/chart">
  <cdr:relSizeAnchor xmlns:cdr="http://schemas.openxmlformats.org/drawingml/2006/chartDrawing">
    <cdr:from>
      <cdr:x>0.89193</cdr:x>
      <cdr:y>0</cdr:y>
    </cdr:from>
    <cdr:to>
      <cdr:x>0.98396</cdr:x>
      <cdr:y>0.14968</cdr:y>
    </cdr:to>
    <cdr:pic>
      <cdr:nvPicPr>
        <cdr:cNvPr id="9" name="Graphic 8" descr="Books with solid fill">
          <a:extLst xmlns:a="http://schemas.openxmlformats.org/drawingml/2006/main">
            <a:ext uri="{FF2B5EF4-FFF2-40B4-BE49-F238E27FC236}">
              <a16:creationId xmlns:a16="http://schemas.microsoft.com/office/drawing/2014/main" id="{5E5BF1DA-EF1D-42A5-B813-4FC8ACA395E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9317354" y="0"/>
          <a:ext cx="961369" cy="852807"/>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0.87147</cdr:x>
      <cdr:y>0</cdr:y>
    </cdr:from>
    <cdr:to>
      <cdr:x>0.96654</cdr:x>
      <cdr:y>0.16599</cdr:y>
    </cdr:to>
    <cdr:pic>
      <cdr:nvPicPr>
        <cdr:cNvPr id="3" name="Graphic 2" descr="Upward trend with solid fill">
          <a:extLst xmlns:a="http://schemas.openxmlformats.org/drawingml/2006/main">
            <a:ext uri="{FF2B5EF4-FFF2-40B4-BE49-F238E27FC236}">
              <a16:creationId xmlns:a16="http://schemas.microsoft.com/office/drawing/2014/main" id="{88B11E7E-58DA-4A08-993C-0EE253C5847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8382000" y="0"/>
          <a:ext cx="914400" cy="914400"/>
        </a:xfrm>
        <a:prstGeom xmlns:a="http://schemas.openxmlformats.org/drawingml/2006/main" prst="rect">
          <a:avLst/>
        </a:prstGeom>
      </cdr:spPr>
    </cdr:pic>
  </cdr:relSizeAnchor>
</c:userShapes>
</file>

<file path=xl/drawings/drawing5.xml><?xml version="1.0" encoding="utf-8"?>
<c:userShapes xmlns:c="http://schemas.openxmlformats.org/drawingml/2006/chart">
  <cdr:relSizeAnchor xmlns:cdr="http://schemas.openxmlformats.org/drawingml/2006/chartDrawing">
    <cdr:from>
      <cdr:x>0.8972</cdr:x>
      <cdr:y>0.00602</cdr:y>
    </cdr:from>
    <cdr:to>
      <cdr:x>0.97196</cdr:x>
      <cdr:y>0.1506</cdr:y>
    </cdr:to>
    <cdr:pic>
      <cdr:nvPicPr>
        <cdr:cNvPr id="3" name="Graphic 2" descr="Target Audience with solid fill">
          <a:extLst xmlns:a="http://schemas.openxmlformats.org/drawingml/2006/main">
            <a:ext uri="{FF2B5EF4-FFF2-40B4-BE49-F238E27FC236}">
              <a16:creationId xmlns:a16="http://schemas.microsoft.com/office/drawing/2014/main" id="{A27F521E-A468-42FD-B4FC-37C3B4ACD55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0972800" y="38100"/>
          <a:ext cx="914400" cy="914400"/>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TVEDANT19" refreshedDate="45705.728399305553" createdVersion="7" refreshedVersion="7" minRefreshableVersion="3" recordCount="1258" xr:uid="{00000000-000A-0000-FFFF-FFFF04000000}">
  <cacheSource type="worksheet">
    <worksheetSource ref="A1:O1259" sheet="googl_data_2020_2025"/>
  </cacheSource>
  <cacheFields count="13">
    <cacheField name="Date" numFmtId="14">
      <sharedItems containsNonDate="0" containsDate="1" containsString="0" containsBlank="1" minDate="2020-01-03T00:00:00" maxDate="2025-01-01T00:00:00" count="1258">
        <d v="2020-01-03T00:00:00"/>
        <d v="2020-01-06T00:00:00"/>
        <d v="2020-01-07T00:00:00"/>
        <d v="2020-01-08T00:00:00"/>
        <d v="2020-01-09T00:00:00"/>
        <d v="2020-01-10T00:00:00"/>
        <d v="2020-01-13T00:00:00"/>
        <d v="2020-01-14T00:00:00"/>
        <d v="2020-01-15T00:00:00"/>
        <d v="2020-01-16T00:00:00"/>
        <d v="2020-01-17T00:00:00"/>
        <d v="2020-01-21T00:00:00"/>
        <d v="2020-01-22T00:00:00"/>
        <d v="2020-01-23T00:00:00"/>
        <d v="2020-01-24T00:00:00"/>
        <d v="2020-01-27T00:00:00"/>
        <d v="2020-01-28T00:00:00"/>
        <d v="2020-01-29T00:00:00"/>
        <d v="2020-01-30T00:00:00"/>
        <d v="2020-01-31T00:00:00"/>
        <d v="2020-02-03T00:00:00"/>
        <d v="2020-02-04T00:00:00"/>
        <d v="2020-02-05T00:00:00"/>
        <d v="2020-02-06T00:00:00"/>
        <d v="2020-02-07T00:00:00"/>
        <d v="2020-02-10T00:00:00"/>
        <d v="2020-02-11T00:00:00"/>
        <d v="2020-02-12T00:00:00"/>
        <d v="2020-02-13T00:00:00"/>
        <d v="2020-02-14T00:00:00"/>
        <d v="2020-02-18T00:00:00"/>
        <d v="2020-02-19T00:00:00"/>
        <d v="2020-02-20T00:00:00"/>
        <d v="2020-02-21T00:00:00"/>
        <d v="2020-02-24T00:00:00"/>
        <d v="2020-02-25T00:00:00"/>
        <d v="2020-02-26T00:00:00"/>
        <d v="2020-02-27T00:00:00"/>
        <d v="2020-02-28T00:00:00"/>
        <d v="2020-03-02T00:00:00"/>
        <d v="2020-03-03T00:00:00"/>
        <d v="2020-03-04T00:00:00"/>
        <d v="2020-03-05T00:00:00"/>
        <d v="2020-03-06T00:00:00"/>
        <d v="2020-03-09T00:00:00"/>
        <d v="2020-03-10T00:00:00"/>
        <d v="2020-03-11T00:00:00"/>
        <d v="2020-03-12T00:00:00"/>
        <d v="2020-03-13T00:00:00"/>
        <d v="2020-03-16T00:00:00"/>
        <d v="2020-03-17T00:00:00"/>
        <d v="2020-03-18T00:00:00"/>
        <d v="2020-03-19T00:00:00"/>
        <d v="2020-03-20T00:00:00"/>
        <d v="2020-03-23T00:00:00"/>
        <d v="2020-03-24T00:00:00"/>
        <d v="2020-03-25T00:00:00"/>
        <d v="2020-03-26T00:00:00"/>
        <d v="2020-03-27T00:00:00"/>
        <d v="2020-03-30T00:00:00"/>
        <d v="2020-03-31T00:00:00"/>
        <d v="2020-04-01T00:00:00"/>
        <d v="2020-04-02T00:00:00"/>
        <d v="2020-04-03T00:00:00"/>
        <d v="2020-04-06T00:00:00"/>
        <d v="2020-04-07T00:00:00"/>
        <d v="2020-04-08T00:00:00"/>
        <d v="2020-04-09T00:00:00"/>
        <d v="2020-04-13T00:00:00"/>
        <d v="2020-04-14T00:00:00"/>
        <d v="2020-04-15T00:00:00"/>
        <d v="2020-04-16T00:00:00"/>
        <d v="2020-04-17T00:00:00"/>
        <d v="2020-04-20T00:00:00"/>
        <d v="2020-04-21T00:00:00"/>
        <d v="2020-04-22T00:00:00"/>
        <d v="2020-04-23T00:00:00"/>
        <d v="2020-04-24T00:00:00"/>
        <d v="2020-04-27T00:00:00"/>
        <d v="2020-04-28T00:00:00"/>
        <d v="2020-04-29T00:00:00"/>
        <d v="2020-04-30T00:00:00"/>
        <d v="2020-05-01T00:00:00"/>
        <d v="2020-05-04T00:00:00"/>
        <d v="2020-05-05T00:00:00"/>
        <d v="2020-05-06T00:00:00"/>
        <d v="2020-05-07T00:00:00"/>
        <d v="2020-05-08T00:00:00"/>
        <d v="2020-05-11T00:00:00"/>
        <d v="2020-05-12T00:00:00"/>
        <d v="2020-05-13T00:00:00"/>
        <d v="2020-05-14T00:00:00"/>
        <d v="2020-05-15T00:00:00"/>
        <d v="2020-05-18T00:00:00"/>
        <d v="2020-05-19T00:00:00"/>
        <d v="2020-05-20T00:00:00"/>
        <d v="2020-05-21T00:00:00"/>
        <d v="2020-05-22T00:00:00"/>
        <d v="2020-05-26T00:00:00"/>
        <d v="2020-05-27T00:00:00"/>
        <d v="2020-05-28T00:00:00"/>
        <d v="2020-05-29T00:00:00"/>
        <d v="2020-06-01T00:00:00"/>
        <d v="2020-06-02T00:00:00"/>
        <d v="2020-06-03T00:00:00"/>
        <d v="2020-06-04T00:00:00"/>
        <d v="2020-06-05T00:00:00"/>
        <d v="2020-06-08T00:00:00"/>
        <d v="2020-06-09T00:00:00"/>
        <d v="2020-06-10T00:00:00"/>
        <d v="2020-06-11T00:00:00"/>
        <d v="2020-06-12T00:00:00"/>
        <d v="2020-06-15T00:00:00"/>
        <d v="2020-06-16T00:00:00"/>
        <d v="2020-06-17T00:00:00"/>
        <d v="2020-06-18T00:00:00"/>
        <d v="2020-06-19T00:00:00"/>
        <d v="2020-06-22T00:00:00"/>
        <d v="2020-06-23T00:00:00"/>
        <d v="2020-06-24T00:00:00"/>
        <d v="2020-06-25T00:00:00"/>
        <d v="2020-06-26T00:00:00"/>
        <d v="2020-06-29T00:00:00"/>
        <d v="2020-06-30T00:00:00"/>
        <d v="2020-07-01T00:00:00"/>
        <d v="2020-07-02T00:00:00"/>
        <d v="2020-07-06T00:00:00"/>
        <d v="2020-07-07T00:00:00"/>
        <d v="2020-07-08T00:00:00"/>
        <d v="2020-07-09T00:00:00"/>
        <d v="2020-07-10T00:00:00"/>
        <d v="2020-07-13T00:00:00"/>
        <d v="2020-07-14T00:00:00"/>
        <d v="2020-07-15T00:00:00"/>
        <d v="2020-07-16T00:00:00"/>
        <d v="2020-07-17T00:00:00"/>
        <d v="2020-07-20T00:00:00"/>
        <d v="2020-07-21T00:00:00"/>
        <d v="2020-07-22T00:00:00"/>
        <d v="2020-07-23T00:00:00"/>
        <d v="2020-07-24T00:00:00"/>
        <d v="2020-07-27T00:00:00"/>
        <d v="2020-07-28T00:00:00"/>
        <d v="2020-07-29T00:00:00"/>
        <d v="2020-07-30T00:00:00"/>
        <d v="2020-07-31T00:00:00"/>
        <d v="2020-08-03T00:00:00"/>
        <d v="2020-08-04T00:00:00"/>
        <d v="2020-08-05T00:00:00"/>
        <d v="2020-08-06T00:00:00"/>
        <d v="2020-08-07T00:00:00"/>
        <d v="2020-08-10T00:00:00"/>
        <d v="2020-08-11T00:00:00"/>
        <d v="2020-08-12T00:00:00"/>
        <d v="2020-08-13T00:00:00"/>
        <d v="2020-08-14T00:00:00"/>
        <d v="2020-08-17T00:00:00"/>
        <d v="2020-08-18T00:00:00"/>
        <d v="2020-08-19T00:00:00"/>
        <d v="2020-08-20T00:00:00"/>
        <d v="2020-08-21T00:00:00"/>
        <d v="2020-08-24T00:00:00"/>
        <d v="2020-08-25T00:00:00"/>
        <d v="2020-08-26T00:00:00"/>
        <d v="2020-08-27T00:00:00"/>
        <d v="2020-08-28T00:00:00"/>
        <d v="2020-08-31T00:00:00"/>
        <d v="2020-09-01T00:00:00"/>
        <d v="2020-09-02T00:00:00"/>
        <d v="2020-09-03T00:00:00"/>
        <d v="2020-09-04T00:00:00"/>
        <d v="2020-09-08T00:00:00"/>
        <d v="2020-09-09T00:00:00"/>
        <d v="2020-09-10T00:00:00"/>
        <d v="2020-09-11T00:00:00"/>
        <d v="2020-09-14T00:00:00"/>
        <d v="2020-09-15T00:00:00"/>
        <d v="2020-09-16T00:00:00"/>
        <d v="2020-09-17T00:00:00"/>
        <d v="2020-09-18T00:00:00"/>
        <d v="2020-09-21T00:00:00"/>
        <d v="2020-09-22T00:00:00"/>
        <d v="2020-09-23T00:00:00"/>
        <d v="2020-09-24T00:00:00"/>
        <d v="2020-09-25T00:00:00"/>
        <d v="2020-09-28T00:00:00"/>
        <d v="2020-09-29T00:00:00"/>
        <d v="2020-09-30T00:00:00"/>
        <d v="2020-10-01T00:00:00"/>
        <d v="2020-10-02T00:00:00"/>
        <d v="2020-10-05T00:00:00"/>
        <d v="2020-10-06T00:00:00"/>
        <d v="2020-10-07T00:00:00"/>
        <d v="2020-10-08T00:00:00"/>
        <d v="2020-10-09T00:00:00"/>
        <d v="2020-10-12T00:00:00"/>
        <d v="2020-10-13T00:00:00"/>
        <d v="2020-10-14T00:00:00"/>
        <d v="2020-10-15T00:00:00"/>
        <d v="2020-10-16T00:00:00"/>
        <d v="2020-10-19T00:00:00"/>
        <d v="2020-10-20T00:00:00"/>
        <d v="2020-10-21T00:00:00"/>
        <d v="2020-10-22T00:00:00"/>
        <d v="2020-10-23T00:00:00"/>
        <d v="2020-10-26T00:00:00"/>
        <d v="2020-10-27T00:00:00"/>
        <d v="2020-10-28T00:00:00"/>
        <d v="2020-10-29T00:00:00"/>
        <d v="2020-10-30T00:00:00"/>
        <d v="2020-11-02T00:00:00"/>
        <d v="2020-11-03T00:00:00"/>
        <d v="2020-11-04T00:00:00"/>
        <d v="2020-11-05T00:00:00"/>
        <d v="2020-11-06T00:00:00"/>
        <d v="2020-11-09T00:00:00"/>
        <d v="2020-11-10T00:00:00"/>
        <d v="2020-11-11T00:00:00"/>
        <d v="2020-11-12T00:00:00"/>
        <d v="2020-11-13T00:00:00"/>
        <d v="2020-11-16T00:00:00"/>
        <d v="2020-11-17T00:00:00"/>
        <d v="2020-11-18T00:00:00"/>
        <d v="2020-11-19T00:00:00"/>
        <d v="2020-11-20T00:00:00"/>
        <d v="2020-11-23T00:00:00"/>
        <d v="2020-11-24T00:00:00"/>
        <d v="2020-11-25T00:00:00"/>
        <d v="2020-11-27T00:00:00"/>
        <d v="2020-11-30T00:00:00"/>
        <d v="2020-12-01T00:00:00"/>
        <d v="2020-12-02T00:00:00"/>
        <d v="2020-12-03T00:00:00"/>
        <d v="2020-12-04T00:00:00"/>
        <d v="2020-12-07T00:00:00"/>
        <d v="2020-12-08T00:00:00"/>
        <d v="2020-12-09T00:00:00"/>
        <d v="2020-12-10T00:00:00"/>
        <d v="2020-12-11T00:00:00"/>
        <d v="2020-12-14T00:00:00"/>
        <d v="2020-12-15T00:00:00"/>
        <d v="2020-12-16T00:00:00"/>
        <d v="2020-12-17T00:00:00"/>
        <d v="2020-12-18T00:00:00"/>
        <d v="2020-12-21T00:00:00"/>
        <d v="2020-12-22T00:00:00"/>
        <d v="2020-12-23T00:00:00"/>
        <d v="2020-12-24T00:00:00"/>
        <d v="2020-12-28T00:00:00"/>
        <d v="2020-12-29T00:00:00"/>
        <d v="2020-12-30T00:00:00"/>
        <d v="2020-12-31T00:00:00"/>
        <d v="2021-01-04T00:00:00"/>
        <d v="2021-01-05T00:00:00"/>
        <d v="2021-01-06T00:00:00"/>
        <d v="2021-01-07T00:00:00"/>
        <d v="2021-01-08T00:00:00"/>
        <d v="2021-01-11T00:00:00"/>
        <d v="2021-01-12T00:00:00"/>
        <d v="2021-01-13T00:00:00"/>
        <d v="2021-01-14T00:00:00"/>
        <d v="2021-01-15T00:00:00"/>
        <d v="2021-01-19T00:00:00"/>
        <d v="2021-01-20T00:00:00"/>
        <d v="2021-01-21T00:00:00"/>
        <d v="2021-01-22T00:00:00"/>
        <d v="2021-01-25T00:00:00"/>
        <d v="2021-01-26T00:00:00"/>
        <d v="2021-01-27T00:00:00"/>
        <d v="2021-01-28T00:00:00"/>
        <d v="2021-01-29T00:00:00"/>
        <d v="2021-02-01T00:00:00"/>
        <d v="2021-02-02T00:00:00"/>
        <d v="2021-02-03T00:00:00"/>
        <d v="2021-02-04T00:00:00"/>
        <d v="2021-02-05T00:00:00"/>
        <d v="2021-02-08T00:00:00"/>
        <d v="2021-02-09T00:00:00"/>
        <d v="2021-02-10T00:00:00"/>
        <d v="2021-02-11T00:00:00"/>
        <d v="2021-02-12T00:00:00"/>
        <d v="2021-02-16T00:00:00"/>
        <d v="2021-02-17T00:00:00"/>
        <d v="2021-02-18T00:00:00"/>
        <d v="2021-02-19T00:00:00"/>
        <d v="2021-02-22T00:00:00"/>
        <d v="2021-02-23T00:00:00"/>
        <d v="2021-02-24T00:00:00"/>
        <d v="2021-02-25T00:00:00"/>
        <d v="2021-02-26T00:00:00"/>
        <d v="2021-03-01T00:00:00"/>
        <d v="2021-03-02T00:00:00"/>
        <d v="2021-03-03T00:00:00"/>
        <d v="2021-03-04T00:00:00"/>
        <d v="2021-03-05T00:00:00"/>
        <d v="2021-03-08T00:00:00"/>
        <d v="2021-03-09T00:00:00"/>
        <d v="2021-03-10T00:00:00"/>
        <d v="2021-03-11T00:00:00"/>
        <d v="2021-03-12T00:00:00"/>
        <d v="2021-03-15T00:00:00"/>
        <d v="2021-03-16T00:00:00"/>
        <d v="2021-03-17T00:00:00"/>
        <d v="2021-03-18T00:00:00"/>
        <d v="2021-03-19T00:00:00"/>
        <d v="2021-03-22T00:00:00"/>
        <d v="2021-03-23T00:00:00"/>
        <d v="2021-03-24T00:00:00"/>
        <d v="2021-03-25T00:00:00"/>
        <d v="2021-03-26T00:00:00"/>
        <d v="2021-03-29T00:00:00"/>
        <d v="2021-03-30T00:00:00"/>
        <d v="2021-03-31T00:00:00"/>
        <d v="2021-04-01T00:00:00"/>
        <d v="2021-04-05T00:00:00"/>
        <d v="2021-04-06T00:00:00"/>
        <d v="2021-04-07T00:00:00"/>
        <d v="2021-04-08T00:00:00"/>
        <d v="2021-04-09T00:00:00"/>
        <d v="2021-04-12T00:00:00"/>
        <d v="2021-04-13T00:00:00"/>
        <d v="2021-04-14T00:00:00"/>
        <d v="2021-04-15T00:00:00"/>
        <d v="2021-04-16T00:00:00"/>
        <d v="2021-04-19T00:00:00"/>
        <d v="2021-04-20T00:00:00"/>
        <d v="2021-04-21T00:00:00"/>
        <d v="2021-04-22T00:00:00"/>
        <d v="2021-04-23T00:00:00"/>
        <d v="2021-04-26T00:00:00"/>
        <d v="2021-04-27T00:00:00"/>
        <d v="2021-04-28T00:00:00"/>
        <d v="2021-04-29T00:00:00"/>
        <d v="2021-04-30T00:00:00"/>
        <d v="2021-05-03T00:00:00"/>
        <d v="2021-05-04T00:00:00"/>
        <d v="2021-05-05T00:00:00"/>
        <d v="2021-05-06T00:00:00"/>
        <d v="2021-05-07T00:00:00"/>
        <d v="2021-05-10T00:00:00"/>
        <d v="2021-05-11T00:00:00"/>
        <d v="2021-05-12T00:00:00"/>
        <d v="2021-05-13T00:00:00"/>
        <d v="2021-05-14T00:00:00"/>
        <d v="2021-05-17T00:00:00"/>
        <d v="2021-05-18T00:00:00"/>
        <d v="2021-05-19T00:00:00"/>
        <d v="2021-05-20T00:00:00"/>
        <d v="2021-05-21T00:00:00"/>
        <d v="2021-05-24T00:00:00"/>
        <d v="2021-05-25T00:00:00"/>
        <d v="2021-05-26T00:00:00"/>
        <d v="2021-05-27T00:00:00"/>
        <d v="2021-05-28T00:00:00"/>
        <d v="2021-06-01T00:00:00"/>
        <d v="2021-06-02T00:00:00"/>
        <d v="2021-06-03T00:00:00"/>
        <d v="2021-06-04T00:00:00"/>
        <d v="2021-06-07T00:00:00"/>
        <d v="2021-06-08T00:00:00"/>
        <d v="2021-06-09T00:00:00"/>
        <d v="2021-06-10T00:00:00"/>
        <d v="2021-06-11T00:00:00"/>
        <d v="2021-06-14T00:00:00"/>
        <d v="2021-06-15T00:00:00"/>
        <d v="2021-06-16T00:00:00"/>
        <d v="2021-06-17T00:00:00"/>
        <d v="2021-06-18T00:00:00"/>
        <d v="2021-06-21T00:00:00"/>
        <d v="2021-06-22T00:00:00"/>
        <d v="2021-06-23T00:00:00"/>
        <d v="2021-06-24T00:00:00"/>
        <d v="2021-06-25T00:00:00"/>
        <d v="2021-06-28T00:00:00"/>
        <d v="2021-06-29T00:00:00"/>
        <d v="2021-06-30T00:00:00"/>
        <d v="2021-07-01T00:00:00"/>
        <d v="2021-07-02T00:00:00"/>
        <d v="2021-07-06T00:00:00"/>
        <d v="2021-07-07T00:00:00"/>
        <d v="2021-07-08T00:00:00"/>
        <d v="2021-07-09T00:00:00"/>
        <d v="2021-07-12T00:00:00"/>
        <d v="2021-07-13T00:00:00"/>
        <d v="2021-07-14T00:00:00"/>
        <d v="2021-07-15T00:00:00"/>
        <d v="2021-07-16T00:00:00"/>
        <d v="2021-07-19T00:00:00"/>
        <d v="2021-07-20T00:00:00"/>
        <d v="2021-07-21T00:00:00"/>
        <d v="2021-07-22T00:00:00"/>
        <d v="2021-07-23T00:00:00"/>
        <d v="2021-07-26T00:00:00"/>
        <d v="2021-07-27T00:00:00"/>
        <d v="2021-07-28T00:00:00"/>
        <d v="2021-07-29T00:00:00"/>
        <d v="2021-07-30T00:00:00"/>
        <d v="2021-08-02T00:00:00"/>
        <d v="2021-08-03T00:00:00"/>
        <d v="2021-08-04T00:00:00"/>
        <d v="2021-08-05T00:00:00"/>
        <d v="2021-08-06T00:00:00"/>
        <d v="2021-08-09T00:00:00"/>
        <d v="2021-08-10T00:00:00"/>
        <d v="2021-08-11T00:00:00"/>
        <d v="2021-08-12T00:00:00"/>
        <d v="2021-08-13T00:00:00"/>
        <d v="2021-08-16T00:00:00"/>
        <d v="2021-08-17T00:00:00"/>
        <d v="2021-08-18T00:00:00"/>
        <d v="2021-08-19T00:00:00"/>
        <d v="2021-08-20T00:00:00"/>
        <d v="2021-08-23T00:00:00"/>
        <d v="2021-08-24T00:00:00"/>
        <d v="2021-08-25T00:00:00"/>
        <d v="2021-08-26T00:00:00"/>
        <d v="2021-08-27T00:00:00"/>
        <d v="2021-08-30T00:00:00"/>
        <d v="2021-08-31T00:00:00"/>
        <d v="2021-09-01T00:00:00"/>
        <d v="2021-09-02T00:00:00"/>
        <d v="2021-09-03T00:00:00"/>
        <d v="2021-09-07T00:00:00"/>
        <d v="2021-09-08T00:00:00"/>
        <d v="2021-09-09T00:00:00"/>
        <d v="2021-09-10T00:00:00"/>
        <d v="2021-09-13T00:00:00"/>
        <d v="2021-09-14T00:00:00"/>
        <d v="2021-09-15T00:00:00"/>
        <d v="2021-09-16T00:00:00"/>
        <d v="2021-09-17T00:00:00"/>
        <d v="2021-09-20T00:00:00"/>
        <d v="2021-09-21T00:00:00"/>
        <d v="2021-09-22T00:00:00"/>
        <d v="2021-09-23T00:00:00"/>
        <d v="2021-09-24T00:00:00"/>
        <d v="2021-09-27T00:00:00"/>
        <d v="2021-09-28T00:00:00"/>
        <d v="2021-09-29T00:00:00"/>
        <d v="2021-09-30T00:00:00"/>
        <d v="2021-10-01T00:00:00"/>
        <d v="2021-10-04T00:00:00"/>
        <d v="2021-10-05T00:00:00"/>
        <d v="2021-10-06T00:00:00"/>
        <d v="2021-10-07T00:00:00"/>
        <d v="2021-10-08T00:00:00"/>
        <d v="2021-10-11T00:00:00"/>
        <d v="2021-10-12T00:00:00"/>
        <d v="2021-10-13T00:00:00"/>
        <d v="2021-10-14T00:00:00"/>
        <d v="2021-10-15T00:00:00"/>
        <d v="2021-10-18T00:00:00"/>
        <d v="2021-10-19T00:00:00"/>
        <d v="2021-10-20T00:00:00"/>
        <d v="2021-10-21T00:00:00"/>
        <d v="2021-10-22T00:00:00"/>
        <d v="2021-10-25T00:00:00"/>
        <d v="2021-10-26T00:00:00"/>
        <d v="2021-10-27T00:00:00"/>
        <d v="2021-10-28T00:00:00"/>
        <d v="2021-10-29T00:00:00"/>
        <d v="2021-11-01T00:00:00"/>
        <d v="2021-11-02T00:00:00"/>
        <d v="2021-11-03T00:00:00"/>
        <d v="2021-11-04T00:00:00"/>
        <d v="2021-11-05T00:00:00"/>
        <d v="2021-11-08T00:00:00"/>
        <d v="2021-11-09T00:00:00"/>
        <d v="2021-11-10T00:00:00"/>
        <d v="2021-11-11T00:00:00"/>
        <d v="2021-11-12T00:00:00"/>
        <d v="2021-11-15T00:00:00"/>
        <d v="2021-11-16T00:00:00"/>
        <d v="2021-11-17T00:00:00"/>
        <d v="2021-11-18T00:00:00"/>
        <d v="2021-11-19T00:00:00"/>
        <d v="2021-11-22T00:00:00"/>
        <d v="2021-11-23T00:00:00"/>
        <d v="2021-11-24T00:00:00"/>
        <d v="2021-11-26T00:00:00"/>
        <d v="2021-11-29T00:00:00"/>
        <d v="2021-11-30T00:00:00"/>
        <d v="2021-12-01T00:00:00"/>
        <d v="2021-12-02T00:00:00"/>
        <d v="2021-12-03T00:00:00"/>
        <d v="2021-12-06T00:00:00"/>
        <d v="2021-12-07T00:00:00"/>
        <d v="2021-12-08T00:00:00"/>
        <d v="2021-12-09T00:00:00"/>
        <d v="2021-12-10T00:00:00"/>
        <d v="2021-12-13T00:00:00"/>
        <d v="2021-12-14T00:00:00"/>
        <d v="2021-12-15T00:00:00"/>
        <d v="2021-12-16T00:00:00"/>
        <d v="2021-12-17T00:00:00"/>
        <d v="2021-12-20T00:00:00"/>
        <d v="2021-12-21T00:00:00"/>
        <d v="2021-12-22T00:00:00"/>
        <d v="2021-12-23T00:00:00"/>
        <d v="2021-12-27T00:00:00"/>
        <d v="2021-12-28T00:00:00"/>
        <d v="2021-12-29T00:00:00"/>
        <d v="2021-12-30T00:00:00"/>
        <d v="2021-12-31T00:00:00"/>
        <d v="2022-01-03T00:00:00"/>
        <d v="2022-01-04T00:00:00"/>
        <d v="2022-01-05T00:00:00"/>
        <d v="2022-01-06T00:00:00"/>
        <d v="2022-01-07T00:00:00"/>
        <d v="2022-01-10T00:00:00"/>
        <d v="2022-01-11T00:00:00"/>
        <d v="2022-01-12T00:00:00"/>
        <d v="2022-01-13T00:00:00"/>
        <d v="2022-01-14T00:00:00"/>
        <d v="2022-01-18T00:00:00"/>
        <d v="2022-01-19T00:00:00"/>
        <d v="2022-01-20T00:00:00"/>
        <d v="2022-01-21T00:00:00"/>
        <d v="2022-01-24T00:00:00"/>
        <d v="2022-01-25T00:00:00"/>
        <d v="2022-01-26T00:00:00"/>
        <d v="2022-01-27T00:00:00"/>
        <d v="2022-01-28T00:00:00"/>
        <d v="2022-01-31T00:00:00"/>
        <d v="2022-02-01T00:00:00"/>
        <d v="2022-02-02T00:00:00"/>
        <d v="2022-02-03T00:00:00"/>
        <d v="2022-02-04T00:00:00"/>
        <d v="2022-02-07T00:00:00"/>
        <d v="2022-02-08T00:00:00"/>
        <d v="2022-02-09T00:00:00"/>
        <d v="2022-02-10T00:00:00"/>
        <d v="2022-02-11T00:00:00"/>
        <d v="2022-02-14T00:00:00"/>
        <d v="2022-02-15T00:00:00"/>
        <d v="2022-02-16T00:00:00"/>
        <d v="2022-02-17T00:00:00"/>
        <d v="2022-02-18T00:00:00"/>
        <d v="2022-02-22T00:00:00"/>
        <d v="2022-02-23T00:00:00"/>
        <d v="2022-02-24T00:00:00"/>
        <d v="2022-02-25T00:00:00"/>
        <d v="2022-02-28T00:00:00"/>
        <d v="2022-03-01T00:00:00"/>
        <d v="2022-03-02T00:00:00"/>
        <d v="2022-03-03T00:00:00"/>
        <d v="2022-03-04T00:00:00"/>
        <d v="2022-03-07T00:00:00"/>
        <d v="2022-03-08T00:00:00"/>
        <d v="2022-03-09T00:00:00"/>
        <d v="2022-03-10T00:00:00"/>
        <d v="2022-03-11T00:00:00"/>
        <d v="2022-03-14T00:00:00"/>
        <d v="2022-03-15T00:00:00"/>
        <d v="2022-03-16T00:00:00"/>
        <d v="2022-03-17T00:00:00"/>
        <d v="2022-03-18T00:00:00"/>
        <d v="2022-03-21T00:00:00"/>
        <d v="2022-03-22T00:00:00"/>
        <d v="2022-03-23T00:00:00"/>
        <d v="2022-03-24T00:00:00"/>
        <d v="2022-03-25T00:00:00"/>
        <d v="2022-03-28T00:00:00"/>
        <d v="2022-03-29T00:00:00"/>
        <d v="2022-03-30T00:00:00"/>
        <d v="2022-03-31T00:00:00"/>
        <d v="2022-04-01T00:00:00"/>
        <d v="2022-04-04T00:00:00"/>
        <d v="2022-04-05T00:00:00"/>
        <d v="2022-04-06T00:00:00"/>
        <d v="2022-04-07T00:00:00"/>
        <d v="2022-04-08T00:00:00"/>
        <d v="2022-04-11T00:00:00"/>
        <d v="2022-04-12T00:00:00"/>
        <d v="2022-04-13T00:00:00"/>
        <d v="2022-04-14T00:00:00"/>
        <d v="2022-04-18T00:00:00"/>
        <d v="2022-04-19T00:00:00"/>
        <d v="2022-04-20T00:00:00"/>
        <d v="2022-04-21T00:00:00"/>
        <d v="2022-04-22T00:00:00"/>
        <d v="2022-04-25T00:00:00"/>
        <d v="2022-04-26T00:00:00"/>
        <d v="2022-04-27T00:00:00"/>
        <d v="2022-04-28T00:00:00"/>
        <d v="2022-04-29T00:00:00"/>
        <d v="2022-05-02T00:00:00"/>
        <d v="2022-05-03T00:00:00"/>
        <d v="2022-05-04T00:00:00"/>
        <d v="2022-05-05T00:00:00"/>
        <d v="2022-05-06T00:00:00"/>
        <d v="2022-05-09T00:00:00"/>
        <d v="2022-05-10T00:00:00"/>
        <d v="2022-05-11T00:00:00"/>
        <d v="2022-05-12T00:00:00"/>
        <d v="2022-05-13T00:00:00"/>
        <d v="2022-05-16T00:00:00"/>
        <d v="2022-05-17T00:00:00"/>
        <d v="2022-05-18T00:00:00"/>
        <d v="2022-05-19T00:00:00"/>
        <d v="2022-05-20T00:00:00"/>
        <d v="2022-05-23T00:00:00"/>
        <d v="2022-05-24T00:00:00"/>
        <d v="2022-05-25T00:00:00"/>
        <d v="2022-05-26T00:00:00"/>
        <d v="2022-05-27T00:00:00"/>
        <d v="2022-05-31T00:00:00"/>
        <d v="2022-06-01T00:00:00"/>
        <d v="2022-06-02T00:00:00"/>
        <d v="2022-06-03T00:00:00"/>
        <d v="2022-06-06T00:00:00"/>
        <d v="2022-06-07T00:00:00"/>
        <d v="2022-06-08T00:00:00"/>
        <d v="2022-06-09T00:00:00"/>
        <d v="2022-06-10T00:00:00"/>
        <d v="2022-06-13T00:00:00"/>
        <d v="2022-06-14T00:00:00"/>
        <d v="2022-06-15T00:00:00"/>
        <d v="2022-06-16T00:00:00"/>
        <d v="2022-06-17T00:00:00"/>
        <d v="2022-06-21T00:00:00"/>
        <d v="2022-06-22T00:00:00"/>
        <d v="2022-06-23T00:00:00"/>
        <d v="2022-06-24T00:00:00"/>
        <d v="2022-06-27T00:00:00"/>
        <d v="2022-06-28T00:00:00"/>
        <d v="2022-06-29T00:00:00"/>
        <d v="2022-06-30T00:00:00"/>
        <d v="2022-07-01T00:00:00"/>
        <d v="2022-07-05T00:00:00"/>
        <d v="2022-07-06T00:00:00"/>
        <d v="2022-07-07T00:00:00"/>
        <d v="2022-07-08T00:00:00"/>
        <d v="2022-07-11T00:00:00"/>
        <d v="2022-07-12T00:00:00"/>
        <d v="2022-07-13T00:00:00"/>
        <d v="2022-07-14T00:00:00"/>
        <d v="2022-07-15T00:00:00"/>
        <d v="2022-07-18T00:00:00"/>
        <d v="2022-07-19T00:00:00"/>
        <d v="2022-07-20T00:00:00"/>
        <d v="2022-07-21T00:00:00"/>
        <d v="2022-07-22T00:00:00"/>
        <d v="2022-07-25T00:00:00"/>
        <d v="2022-07-26T00:00:00"/>
        <d v="2022-07-27T00:00:00"/>
        <d v="2022-07-28T00:00:00"/>
        <d v="2022-07-29T00:00:00"/>
        <d v="2022-08-01T00:00:00"/>
        <d v="2022-08-02T00:00:00"/>
        <d v="2022-08-03T00:00:00"/>
        <d v="2022-08-04T00:00:00"/>
        <d v="2022-08-05T00:00:00"/>
        <d v="2022-08-08T00:00:00"/>
        <d v="2022-08-09T00:00:00"/>
        <d v="2022-08-10T00:00:00"/>
        <d v="2022-08-11T00:00:00"/>
        <d v="2022-08-12T00:00:00"/>
        <d v="2022-08-15T00:00:00"/>
        <d v="2022-08-16T00:00:00"/>
        <d v="2022-08-17T00:00:00"/>
        <d v="2022-08-18T00:00:00"/>
        <d v="2022-08-19T00:00:00"/>
        <d v="2022-08-22T00:00:00"/>
        <d v="2022-08-23T00:00:00"/>
        <d v="2022-08-24T00:00:00"/>
        <d v="2022-08-25T00:00:00"/>
        <d v="2022-08-26T00:00:00"/>
        <d v="2022-08-29T00:00:00"/>
        <d v="2022-08-30T00:00:00"/>
        <d v="2022-08-31T00:00:00"/>
        <d v="2022-09-01T00:00:00"/>
        <d v="2022-09-02T00:00:00"/>
        <d v="2022-09-06T00:00:00"/>
        <d v="2022-09-07T00:00:00"/>
        <d v="2022-09-08T00:00:00"/>
        <d v="2022-09-09T00:00:00"/>
        <d v="2022-09-12T00:00:00"/>
        <d v="2022-09-13T00:00:00"/>
        <d v="2022-09-14T00:00:00"/>
        <d v="2022-09-15T00:00:00"/>
        <d v="2022-09-16T00:00:00"/>
        <d v="2022-09-19T00:00:00"/>
        <d v="2022-09-20T00:00:00"/>
        <d v="2022-09-21T00:00:00"/>
        <d v="2022-09-22T00:00:00"/>
        <d v="2022-09-23T00:00:00"/>
        <d v="2022-09-26T00:00:00"/>
        <d v="2022-09-27T00:00:00"/>
        <d v="2022-09-28T00:00:00"/>
        <d v="2022-09-29T00:00:00"/>
        <d v="2022-09-30T00:00:00"/>
        <d v="2022-10-03T00:00:00"/>
        <d v="2022-10-04T00:00:00"/>
        <d v="2022-10-05T00:00:00"/>
        <d v="2022-10-06T00:00:00"/>
        <d v="2022-10-07T00:00:00"/>
        <d v="2022-10-10T00:00:00"/>
        <d v="2022-10-11T00:00:00"/>
        <d v="2022-10-12T00:00:00"/>
        <d v="2022-10-13T00:00:00"/>
        <d v="2022-10-14T00:00:00"/>
        <d v="2022-10-17T00:00:00"/>
        <d v="2022-10-18T00:00:00"/>
        <d v="2022-10-19T00:00:00"/>
        <d v="2022-10-20T00:00:00"/>
        <d v="2022-10-21T00:00:00"/>
        <d v="2022-10-24T00:00:00"/>
        <d v="2022-10-25T00:00:00"/>
        <d v="2022-10-26T00:00:00"/>
        <d v="2022-10-27T00:00:00"/>
        <d v="2022-10-28T00:00:00"/>
        <d v="2022-10-31T00:00:00"/>
        <d v="2022-11-01T00:00:00"/>
        <d v="2022-11-02T00:00:00"/>
        <d v="2022-11-03T00:00:00"/>
        <d v="2022-11-04T00:00:00"/>
        <d v="2022-11-07T00:00:00"/>
        <d v="2022-11-08T00:00:00"/>
        <d v="2022-11-09T00:00:00"/>
        <d v="2022-11-10T00:00:00"/>
        <d v="2022-11-11T00:00:00"/>
        <d v="2022-11-14T00:00:00"/>
        <d v="2022-11-15T00:00:00"/>
        <d v="2022-11-16T00:00:00"/>
        <d v="2022-11-17T00:00:00"/>
        <d v="2022-11-18T00:00:00"/>
        <d v="2022-11-21T00:00:00"/>
        <d v="2022-11-22T00:00:00"/>
        <d v="2022-11-23T00:00:00"/>
        <d v="2022-11-25T00:00:00"/>
        <d v="2022-11-28T00:00:00"/>
        <d v="2022-11-29T00:00:00"/>
        <d v="2022-11-30T00:00:00"/>
        <d v="2022-12-01T00:00:00"/>
        <d v="2022-12-02T00:00:00"/>
        <d v="2022-12-05T00:00:00"/>
        <d v="2022-12-06T00:00:00"/>
        <d v="2022-12-07T00:00:00"/>
        <d v="2022-12-08T00:00:00"/>
        <d v="2022-12-09T00:00:00"/>
        <d v="2022-12-12T00:00:00"/>
        <d v="2022-12-13T00:00:00"/>
        <d v="2022-12-14T00:00:00"/>
        <d v="2022-12-15T00:00:00"/>
        <d v="2022-12-16T00:00:00"/>
        <d v="2022-12-19T00:00:00"/>
        <d v="2022-12-20T00:00:00"/>
        <d v="2022-12-21T00:00:00"/>
        <d v="2022-12-22T00:00:00"/>
        <d v="2022-12-23T00:00:00"/>
        <d v="2022-12-27T00:00:00"/>
        <d v="2022-12-28T00:00:00"/>
        <d v="2022-12-29T00:00:00"/>
        <d v="2022-12-30T00:00:00"/>
        <d v="2023-01-03T00:00:00"/>
        <d v="2023-01-04T00:00:00"/>
        <d v="2023-01-05T00:00:00"/>
        <d v="2023-01-06T00:00:00"/>
        <d v="2023-01-09T00:00:00"/>
        <d v="2023-01-10T00:00:00"/>
        <d v="2023-01-11T00:00:00"/>
        <d v="2023-01-12T00:00:00"/>
        <d v="2023-01-13T00:00:00"/>
        <d v="2023-01-17T00:00:00"/>
        <d v="2023-01-18T00:00:00"/>
        <d v="2023-01-19T00:00:00"/>
        <d v="2023-01-20T00:00:00"/>
        <d v="2023-01-23T00:00:00"/>
        <d v="2023-01-24T00:00:00"/>
        <d v="2023-01-25T00:00:00"/>
        <d v="2023-01-26T00:00:00"/>
        <d v="2023-01-27T00:00:00"/>
        <d v="2023-01-30T00:00:00"/>
        <d v="2023-01-31T00:00:00"/>
        <d v="2023-02-01T00:00:00"/>
        <d v="2023-02-02T00:00:00"/>
        <d v="2023-02-03T00:00:00"/>
        <d v="2023-02-06T00:00:00"/>
        <d v="2023-02-07T00:00:00"/>
        <d v="2023-02-08T00:00:00"/>
        <d v="2023-02-09T00:00:00"/>
        <d v="2023-02-10T00:00:00"/>
        <d v="2023-02-13T00:00:00"/>
        <d v="2023-02-14T00:00:00"/>
        <d v="2023-02-15T00:00:00"/>
        <d v="2023-02-16T00:00:00"/>
        <d v="2023-02-17T00:00:00"/>
        <d v="2023-02-21T00:00:00"/>
        <d v="2023-02-22T00:00:00"/>
        <d v="2023-02-23T00:00:00"/>
        <d v="2023-02-24T00:00:00"/>
        <d v="2023-02-27T00:00:00"/>
        <d v="2023-02-28T00:00:00"/>
        <d v="2023-03-01T00:00:00"/>
        <d v="2023-03-02T00:00:00"/>
        <d v="2023-03-03T00:00:00"/>
        <d v="2023-03-06T00:00:00"/>
        <d v="2023-03-07T00:00:00"/>
        <d v="2023-03-08T00:00:00"/>
        <d v="2023-03-09T00:00:00"/>
        <d v="2023-03-10T00:00:00"/>
        <d v="2023-03-13T00:00:00"/>
        <d v="2023-03-14T00:00:00"/>
        <d v="2023-03-15T00:00:00"/>
        <d v="2023-03-16T00:00:00"/>
        <d v="2023-03-17T00:00:00"/>
        <d v="2023-03-20T00:00:00"/>
        <d v="2023-03-21T00:00:00"/>
        <d v="2023-03-22T00:00:00"/>
        <d v="2023-03-23T00:00:00"/>
        <d v="2023-03-24T00:00:00"/>
        <d v="2023-03-27T00:00:00"/>
        <d v="2023-03-28T00:00:00"/>
        <d v="2023-03-29T00:00:00"/>
        <d v="2023-03-30T00:00:00"/>
        <d v="2023-03-31T00:00:00"/>
        <d v="2023-04-03T00:00:00"/>
        <d v="2023-04-04T00:00:00"/>
        <d v="2023-04-05T00:00:00"/>
        <d v="2023-04-06T00:00:00"/>
        <d v="2023-04-10T00:00:00"/>
        <d v="2023-04-11T00:00:00"/>
        <d v="2023-04-12T00:00:00"/>
        <d v="2023-04-13T00:00:00"/>
        <d v="2023-04-14T00:00:00"/>
        <d v="2023-04-17T00:00:00"/>
        <d v="2023-04-18T00:00:00"/>
        <d v="2023-04-19T00:00:00"/>
        <d v="2023-04-20T00:00:00"/>
        <d v="2023-04-21T00:00:00"/>
        <d v="2023-04-24T00:00:00"/>
        <d v="2023-04-25T00:00:00"/>
        <d v="2023-04-26T00:00:00"/>
        <d v="2023-04-27T00:00:00"/>
        <d v="2023-04-28T00:00:00"/>
        <d v="2023-05-01T00:00:00"/>
        <d v="2023-05-02T00:00:00"/>
        <d v="2023-05-03T00:00:00"/>
        <d v="2023-05-04T00:00:00"/>
        <d v="2023-05-05T00:00:00"/>
        <d v="2023-05-08T00:00:00"/>
        <d v="2023-05-09T00:00:00"/>
        <d v="2023-05-10T00:00:00"/>
        <d v="2023-05-11T00:00:00"/>
        <d v="2023-05-12T00:00:00"/>
        <d v="2023-05-15T00:00:00"/>
        <d v="2023-05-16T00:00:00"/>
        <d v="2023-05-17T00:00:00"/>
        <d v="2023-05-18T00:00:00"/>
        <d v="2023-05-19T00:00:00"/>
        <d v="2023-05-22T00:00:00"/>
        <d v="2023-05-23T00:00:00"/>
        <d v="2023-05-24T00:00:00"/>
        <d v="2023-05-25T00:00:00"/>
        <d v="2023-05-26T00:00:00"/>
        <d v="2023-05-30T00:00:00"/>
        <d v="2023-05-31T00:00:00"/>
        <d v="2023-06-01T00:00:00"/>
        <d v="2023-06-02T00:00:00"/>
        <d v="2023-06-05T00:00:00"/>
        <d v="2023-06-06T00:00:00"/>
        <d v="2023-06-07T00:00:00"/>
        <d v="2023-06-08T00:00:00"/>
        <d v="2023-06-09T00:00:00"/>
        <d v="2023-06-12T00:00:00"/>
        <d v="2023-06-13T00:00:00"/>
        <d v="2023-06-14T00:00:00"/>
        <d v="2023-06-15T00:00:00"/>
        <d v="2023-06-16T00:00:00"/>
        <d v="2023-06-20T00:00:00"/>
        <d v="2023-06-21T00:00:00"/>
        <d v="2023-06-22T00:00:00"/>
        <d v="2023-06-23T00:00:00"/>
        <d v="2023-06-26T00:00:00"/>
        <d v="2023-06-27T00:00:00"/>
        <d v="2023-06-28T00:00:00"/>
        <d v="2023-06-29T00:00:00"/>
        <d v="2023-06-30T00:00:00"/>
        <d v="2023-07-03T00:00:00"/>
        <d v="2023-07-05T00:00:00"/>
        <d v="2023-07-06T00:00:00"/>
        <d v="2023-07-07T00:00:00"/>
        <d v="2023-07-10T00:00:00"/>
        <d v="2023-07-11T00:00:00"/>
        <d v="2023-07-12T00:00:00"/>
        <d v="2023-07-13T00:00:00"/>
        <d v="2023-07-14T00:00:00"/>
        <d v="2023-07-17T00:00:00"/>
        <d v="2023-07-18T00:00:00"/>
        <d v="2023-07-19T00:00:00"/>
        <d v="2023-07-20T00:00:00"/>
        <d v="2023-07-21T00:00:00"/>
        <d v="2023-07-24T00:00:00"/>
        <d v="2023-07-25T00:00:00"/>
        <d v="2023-07-26T00:00:00"/>
        <d v="2023-07-27T00:00:00"/>
        <d v="2023-07-28T00:00:00"/>
        <d v="2023-07-31T00:00:00"/>
        <d v="2023-08-01T00:00:00"/>
        <d v="2023-08-02T00:00:00"/>
        <d v="2023-08-03T00:00:00"/>
        <d v="2023-08-04T00:00:00"/>
        <d v="2023-08-07T00:00:00"/>
        <d v="2023-08-08T00:00:00"/>
        <d v="2023-08-09T00:00:00"/>
        <d v="2023-08-10T00:00:00"/>
        <d v="2023-08-11T00:00:00"/>
        <d v="2023-08-14T00:00:00"/>
        <d v="2023-08-15T00:00:00"/>
        <d v="2023-08-16T00:00:00"/>
        <d v="2023-08-17T00:00:00"/>
        <d v="2023-08-18T00:00:00"/>
        <d v="2023-08-21T00:00:00"/>
        <d v="2023-08-22T00:00:00"/>
        <d v="2023-08-23T00:00:00"/>
        <d v="2023-08-24T00:00:00"/>
        <d v="2023-08-25T00:00:00"/>
        <d v="2023-08-28T00:00:00"/>
        <d v="2023-08-29T00:00:00"/>
        <d v="2023-08-30T00:00:00"/>
        <d v="2023-08-31T00:00:00"/>
        <d v="2023-09-01T00:00:00"/>
        <d v="2023-09-05T00:00:00"/>
        <d v="2023-09-06T00:00:00"/>
        <d v="2023-09-07T00:00:00"/>
        <d v="2023-09-08T00:00:00"/>
        <d v="2023-09-11T00:00:00"/>
        <d v="2023-09-12T00:00:00"/>
        <d v="2023-09-13T00:00:00"/>
        <d v="2023-09-14T00:00:00"/>
        <d v="2023-09-15T00:00:00"/>
        <d v="2023-09-18T00:00:00"/>
        <d v="2023-09-19T00:00:00"/>
        <d v="2023-09-20T00:00:00"/>
        <d v="2023-09-21T00:00:00"/>
        <d v="2023-09-22T00:00:00"/>
        <d v="2023-09-25T00:00:00"/>
        <d v="2023-09-26T00:00:00"/>
        <d v="2023-09-27T00:00:00"/>
        <d v="2023-09-28T00:00:00"/>
        <d v="2023-09-29T00:00:00"/>
        <d v="2023-10-02T00:00:00"/>
        <d v="2023-10-03T00:00:00"/>
        <d v="2023-10-04T00:00:00"/>
        <d v="2023-10-05T00:00:00"/>
        <d v="2023-10-06T00:00:00"/>
        <d v="2023-10-09T00:00:00"/>
        <d v="2023-10-10T00:00:00"/>
        <d v="2023-10-11T00:00:00"/>
        <d v="2023-10-12T00:00:00"/>
        <d v="2023-10-13T00:00:00"/>
        <d v="2023-10-16T00:00:00"/>
        <d v="2023-10-17T00:00:00"/>
        <d v="2023-10-18T00:00:00"/>
        <d v="2023-10-19T00:00:00"/>
        <d v="2023-10-20T00:00:00"/>
        <d v="2023-10-23T00:00:00"/>
        <d v="2023-10-24T00:00:00"/>
        <d v="2023-10-25T00:00:00"/>
        <d v="2023-10-26T00:00:00"/>
        <d v="2023-10-27T00:00:00"/>
        <d v="2023-10-30T00:00:00"/>
        <d v="2023-10-31T00:00:00"/>
        <d v="2023-11-01T00:00:00"/>
        <d v="2023-11-02T00:00:00"/>
        <d v="2023-11-03T00:00:00"/>
        <d v="2023-11-06T00:00:00"/>
        <d v="2023-11-07T00:00:00"/>
        <d v="2023-11-08T00:00:00"/>
        <d v="2023-11-09T00:00:00"/>
        <d v="2023-11-10T00:00:00"/>
        <d v="2023-11-13T00:00:00"/>
        <d v="2023-11-14T00:00:00"/>
        <d v="2023-11-15T00:00:00"/>
        <d v="2023-11-16T00:00:00"/>
        <d v="2023-11-17T00:00:00"/>
        <d v="2023-11-20T00:00:00"/>
        <d v="2023-11-21T00:00:00"/>
        <d v="2023-11-22T00:00:00"/>
        <d v="2023-11-24T00:00:00"/>
        <d v="2023-11-27T00:00:00"/>
        <d v="2023-11-28T00:00:00"/>
        <d v="2023-11-29T00:00:00"/>
        <d v="2023-11-30T00:00:00"/>
        <d v="2023-12-01T00:00:00"/>
        <d v="2023-12-04T00:00:00"/>
        <d v="2023-12-05T00:00:00"/>
        <d v="2023-12-06T00:00:00"/>
        <d v="2023-12-07T00:00:00"/>
        <d v="2023-12-08T00:00:00"/>
        <d v="2023-12-11T00:00:00"/>
        <d v="2023-12-12T00:00:00"/>
        <d v="2023-12-13T00:00:00"/>
        <d v="2023-12-14T00:00:00"/>
        <d v="2023-12-15T00:00:00"/>
        <d v="2023-12-18T00:00:00"/>
        <d v="2023-12-19T00:00:00"/>
        <d v="2023-12-20T00:00:00"/>
        <d v="2023-12-21T00:00:00"/>
        <d v="2023-12-22T00:00:00"/>
        <d v="2023-12-26T00:00:00"/>
        <d v="2023-12-27T00:00:00"/>
        <d v="2023-12-28T00:00:00"/>
        <d v="2023-12-29T00:00:00"/>
        <d v="2024-01-02T00:00:00"/>
        <d v="2024-01-03T00:00:00"/>
        <d v="2024-01-04T00:00:00"/>
        <d v="2024-01-05T00:00:00"/>
        <d v="2024-01-08T00:00:00"/>
        <d v="2024-01-09T00:00:00"/>
        <d v="2024-01-10T00:00:00"/>
        <d v="2024-01-11T00:00:00"/>
        <d v="2024-01-12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20T00:00:00"/>
        <d v="2024-06-21T00:00:00"/>
        <d v="2024-06-24T00:00:00"/>
        <d v="2024-06-25T00:00:00"/>
        <d v="2024-06-26T00:00:00"/>
        <d v="2024-06-27T00:00:00"/>
        <d v="2024-06-28T00:00:00"/>
        <d v="2024-07-01T00:00:00"/>
        <d v="2024-07-02T00:00:00"/>
        <d v="2024-07-03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d v="2024-10-11T00:00:00"/>
        <d v="2024-10-14T00:00:00"/>
        <d v="2024-10-15T00:00:00"/>
        <d v="2024-10-16T00:00:00"/>
        <d v="2024-10-17T00:00:00"/>
        <d v="2024-10-18T00:00:00"/>
        <d v="2024-10-21T00:00:00"/>
        <d v="2024-10-22T00:00:00"/>
        <d v="2024-10-23T00:00:00"/>
        <d v="2024-10-24T00:00:00"/>
        <d v="2024-10-25T00:00:00"/>
        <d v="2024-10-28T00:00:00"/>
        <d v="2024-10-29T00:00:00"/>
        <d v="2024-10-30T00:00:00"/>
        <d v="2024-10-31T00:00:00"/>
        <d v="2024-11-01T00:00:00"/>
        <d v="2024-11-04T00:00:00"/>
        <d v="2024-11-05T00:00:00"/>
        <d v="2024-11-06T00:00:00"/>
        <d v="2024-11-07T00:00:00"/>
        <d v="2024-11-08T00:00:00"/>
        <d v="2024-11-11T00:00:00"/>
        <d v="2024-11-12T00:00:00"/>
        <d v="2024-11-13T00:00:00"/>
        <d v="2024-11-14T00:00:00"/>
        <d v="2024-11-15T00:00:00"/>
        <d v="2024-11-18T00:00:00"/>
        <d v="2024-11-19T00:00:00"/>
        <d v="2024-11-20T00:00:00"/>
        <d v="2024-11-21T00:00:00"/>
        <d v="2024-11-22T00:00:00"/>
        <d v="2024-11-25T00:00:00"/>
        <d v="2024-11-26T00:00:00"/>
        <d v="2024-11-27T00:00:00"/>
        <d v="2024-11-29T00:00:00"/>
        <d v="2024-12-02T00:00:00"/>
        <d v="2024-12-03T00:00:00"/>
        <d v="2024-12-04T00:00:00"/>
        <d v="2024-12-05T00:00:00"/>
        <d v="2024-12-06T00:00:00"/>
        <d v="2024-12-09T00:00:00"/>
        <d v="2024-12-10T00:00:00"/>
        <d v="2024-12-11T00:00:00"/>
        <d v="2024-12-12T00:00:00"/>
        <d v="2024-12-13T00:00:00"/>
        <d v="2024-12-16T00:00:00"/>
        <d v="2024-12-17T00:00:00"/>
        <d v="2024-12-18T00:00:00"/>
        <d v="2024-12-19T00:00:00"/>
        <d v="2024-12-20T00:00:00"/>
        <d v="2024-12-23T00:00:00"/>
        <d v="2024-12-24T00:00:00"/>
        <d v="2024-12-26T00:00:00"/>
        <d v="2024-12-27T00:00:00"/>
        <d v="2024-12-30T00:00:00"/>
        <d v="2024-12-31T00:00:00"/>
        <m/>
      </sharedItems>
      <fieldGroup par="12" base="0">
        <rangePr groupBy="months" startDate="2020-01-03T00:00:00" endDate="2025-01-01T00:00:00"/>
        <groupItems count="14">
          <s v="(blank)"/>
          <s v="Jan"/>
          <s v="Feb"/>
          <s v="Mar"/>
          <s v="Apr"/>
          <s v="May"/>
          <s v="Jun"/>
          <s v="Jul"/>
          <s v="Aug"/>
          <s v="Sep"/>
          <s v="Oct"/>
          <s v="Nov"/>
          <s v="Dec"/>
          <s v="&gt;01-01-2025"/>
        </groupItems>
      </fieldGroup>
    </cacheField>
    <cacheField name="Days" numFmtId="0">
      <sharedItems containsSemiMixedTypes="0" containsString="0" containsNumber="1" containsInteger="1" minValue="0" maxValue="31" count="32">
        <n v="3"/>
        <n v="6"/>
        <n v="7"/>
        <n v="8"/>
        <n v="9"/>
        <n v="10"/>
        <n v="13"/>
        <n v="14"/>
        <n v="15"/>
        <n v="16"/>
        <n v="17"/>
        <n v="21"/>
        <n v="22"/>
        <n v="23"/>
        <n v="24"/>
        <n v="27"/>
        <n v="28"/>
        <n v="29"/>
        <n v="30"/>
        <n v="31"/>
        <n v="4"/>
        <n v="5"/>
        <n v="11"/>
        <n v="12"/>
        <n v="18"/>
        <n v="19"/>
        <n v="20"/>
        <n v="25"/>
        <n v="26"/>
        <n v="2"/>
        <n v="1"/>
        <n v="0"/>
      </sharedItems>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1900" maxValue="2024" count="6">
        <n v="2020"/>
        <n v="2021"/>
        <n v="2022"/>
        <n v="2023"/>
        <n v="2024"/>
        <n v="1900"/>
      </sharedItems>
    </cacheField>
    <cacheField name="Quaterly" numFmtId="0">
      <sharedItems/>
    </cacheField>
    <cacheField name="Adj Close" numFmtId="0">
      <sharedItems containsSemiMixedTypes="0" containsString="0" containsNumber="1" minValue="52.516124730000001" maxValue="196.6600037"/>
    </cacheField>
    <cacheField name="Close" numFmtId="0">
      <sharedItems containsSemiMixedTypes="0" containsString="0" containsNumber="1" minValue="52.706501009999997" maxValue="196.6600037"/>
    </cacheField>
    <cacheField name="High" numFmtId="0">
      <sharedItems containsSemiMixedTypes="0" containsString="0" containsNumber="1" minValue="53.345500950000002" maxValue="201.41999820000001"/>
    </cacheField>
    <cacheField name="Low" numFmtId="0">
      <sharedItems containsSemiMixedTypes="0" containsString="0" containsNumber="1" minValue="50.443500520000001" maxValue="194.97999569999999"/>
    </cacheField>
    <cacheField name="Open" numFmtId="0">
      <sharedItems containsSemiMixedTypes="0" containsString="0" containsNumber="1" minValue="52.818500520000001" maxValue="197.25"/>
    </cacheField>
    <cacheField name="Volume" numFmtId="0">
      <sharedItems containsSemiMixedTypes="0" containsString="0" containsNumber="1" containsInteger="1" minValue="9312000" maxValue="123200000" count="1251">
        <n v="27278000"/>
        <n v="23408000"/>
        <n v="46768000"/>
        <n v="34330000"/>
        <n v="35314000"/>
        <n v="33200000"/>
        <n v="26258000"/>
        <n v="30730000"/>
        <n v="26076000"/>
        <n v="21550000"/>
        <n v="26080000"/>
        <n v="52424000"/>
        <n v="48930000"/>
        <n v="28458000"/>
        <n v="26650000"/>
        <n v="29786000"/>
        <n v="34132000"/>
        <n v="29724000"/>
        <n v="21566000"/>
        <n v="27110000"/>
        <n v="43822000"/>
        <n v="71636000"/>
        <n v="95880000"/>
        <n v="36376000"/>
        <n v="37822000"/>
        <n v="28360000"/>
        <n v="38302000"/>
        <n v="34852000"/>
        <n v="31042000"/>
        <n v="22914000"/>
        <n v="23198000"/>
        <n v="25642000"/>
        <n v="22746000"/>
        <n v="25962000"/>
        <n v="42520000"/>
        <n v="49560000"/>
        <n v="51580000"/>
        <n v="49776000"/>
        <n v="62290000"/>
        <n v="80198000"/>
        <n v="55430000"/>
        <n v="56602000"/>
        <n v="47598000"/>
        <n v="54380000"/>
        <n v="64640000"/>
        <n v="69252000"/>
        <n v="54872000"/>
        <n v="54732000"/>
        <n v="94326000"/>
        <n v="79400000"/>
        <n v="96520000"/>
        <n v="83194000"/>
        <n v="93044000"/>
        <n v="74064000"/>
        <n v="82878000"/>
        <n v="83672000"/>
        <n v="72468000"/>
        <n v="90324000"/>
        <n v="76562000"/>
        <n v="62794000"/>
        <n v="58736000"/>
        <n v="65228000"/>
        <n v="51970000"/>
        <n v="56410000"/>
        <n v="51374000"/>
        <n v="63320000"/>
        <n v="61620000"/>
        <n v="40334000"/>
        <n v="54028000"/>
        <n v="38702000"/>
        <n v="63358000"/>
        <n v="42236000"/>
        <n v="57896000"/>
        <n v="51050000"/>
        <n v="35292000"/>
        <n v="49648000"/>
        <n v="46296000"/>
        <n v="34202000"/>
        <n v="37402000"/>
        <n v="44186000"/>
        <n v="80700000"/>
        <n v="108358000"/>
        <n v="55842000"/>
        <n v="48872000"/>
        <n v="30806000"/>
        <n v="39666000"/>
        <n v="31732000"/>
        <n v="30652000"/>
        <n v="33326000"/>
        <n v="32718000"/>
        <n v="33918000"/>
        <n v="40368000"/>
        <n v="36660000"/>
        <n v="41544000"/>
        <n v="47094000"/>
        <n v="31586000"/>
        <n v="38262000"/>
        <n v="30894000"/>
        <n v="28544000"/>
        <n v="44590000"/>
        <n v="31684000"/>
        <n v="35170000"/>
        <n v="37044000"/>
        <n v="25162000"/>
        <n v="23442000"/>
        <n v="27732000"/>
        <n v="26982000"/>
        <n v="42642000"/>
        <n v="33878000"/>
        <n v="33624000"/>
        <n v="31762000"/>
        <n v="47144000"/>
        <n v="36676000"/>
        <n v="30468000"/>
        <n v="30648000"/>
        <n v="30610000"/>
        <n v="34862000"/>
        <n v="52784000"/>
        <n v="29442000"/>
        <n v="37752000"/>
        <n v="31592000"/>
        <n v="23958000"/>
        <n v="97640000"/>
        <n v="45074000"/>
        <n v="40286000"/>
        <n v="42182000"/>
        <n v="57218000"/>
        <n v="44712000"/>
        <n v="42364000"/>
        <n v="31766000"/>
        <n v="41836000"/>
        <n v="35918000"/>
        <n v="42954000"/>
        <n v="38108000"/>
        <n v="31026000"/>
        <n v="26484000"/>
        <n v="34264000"/>
        <n v="30166000"/>
        <n v="27486000"/>
        <n v="24482000"/>
        <n v="33910000"/>
        <n v="29902000"/>
        <n v="27124000"/>
        <n v="30910000"/>
        <n v="22676000"/>
        <n v="36042000"/>
        <n v="91468000"/>
        <n v="45482000"/>
        <n v="37212000"/>
        <n v="29134000"/>
        <n v="33306000"/>
        <n v="27718000"/>
        <n v="20546000"/>
        <n v="31098000"/>
        <n v="22512000"/>
        <n v="22388000"/>
        <n v="21942000"/>
        <n v="19990000"/>
        <n v="28378000"/>
        <n v="30472000"/>
        <n v="26382000"/>
        <n v="34838000"/>
        <n v="25638000"/>
        <n v="25150000"/>
        <n v="52188000"/>
        <n v="31350000"/>
        <n v="22418000"/>
        <n v="26422000"/>
        <n v="22652000"/>
        <n v="49522000"/>
        <n v="63726000"/>
        <n v="55850000"/>
        <n v="54032000"/>
        <n v="39242000"/>
        <n v="33024000"/>
        <n v="30706000"/>
        <n v="42660000"/>
        <n v="23042000"/>
        <n v="22128000"/>
        <n v="40008000"/>
        <n v="63056000"/>
        <n v="56908000"/>
        <n v="33950000"/>
        <n v="37726000"/>
        <n v="34552000"/>
        <n v="30326000"/>
        <n v="30784000"/>
        <n v="31816000"/>
        <n v="40924000"/>
        <n v="32884000"/>
        <n v="31222000"/>
        <n v="21602000"/>
        <n v="26096000"/>
        <n v="36108000"/>
        <n v="32966000"/>
        <n v="55344000"/>
        <n v="39072000"/>
        <n v="33174000"/>
        <n v="31210000"/>
        <n v="34194000"/>
        <n v="29734000"/>
        <n v="41670000"/>
        <n v="60322000"/>
        <n v="30512000"/>
        <n v="30548000"/>
        <n v="35826000"/>
        <n v="25902000"/>
        <n v="45174000"/>
        <n v="55406000"/>
        <n v="99878000"/>
        <n v="44228000"/>
        <n v="31432000"/>
        <n v="71342000"/>
        <n v="39758000"/>
        <n v="28622000"/>
        <n v="53440000"/>
        <n v="43022000"/>
        <n v="31838000"/>
        <n v="26474000"/>
        <n v="29744000"/>
        <n v="25468000"/>
        <n v="21314000"/>
        <n v="20108000"/>
        <n v="20106000"/>
        <n v="27694000"/>
        <n v="22530000"/>
        <n v="27984000"/>
        <n v="19600000"/>
        <n v="14790000"/>
        <n v="32418000"/>
        <n v="37350000"/>
        <n v="29424000"/>
        <n v="24728000"/>
        <n v="20544000"/>
        <n v="22288000"/>
        <n v="19936000"/>
        <n v="31728000"/>
        <n v="28688000"/>
        <n v="18628000"/>
        <n v="33050000"/>
        <n v="21352000"/>
        <n v="24676000"/>
        <n v="34880000"/>
        <n v="85256000"/>
        <n v="33974000"/>
        <n v="20370000"/>
        <n v="22974000"/>
        <n v="9312000"/>
        <n v="27650000"/>
        <n v="19726000"/>
        <n v="21026000"/>
        <n v="21070000"/>
        <n v="37324000"/>
        <n v="20360000"/>
        <n v="46588000"/>
        <n v="41936000"/>
        <n v="35484000"/>
        <n v="34796000"/>
        <n v="29528000"/>
        <n v="23432000"/>
        <n v="29212000"/>
        <n v="31444000"/>
        <n v="41660000"/>
        <n v="64152000"/>
        <n v="58634000"/>
        <n v="32744000"/>
        <n v="50586000"/>
        <n v="31462000"/>
        <n v="82512000"/>
        <n v="55278000"/>
        <n v="44530000"/>
        <n v="40252000"/>
        <n v="66332000"/>
        <n v="97882000"/>
        <n v="48596000"/>
        <n v="29866000"/>
        <n v="28828000"/>
        <n v="21892000"/>
        <n v="25102000"/>
        <n v="20480000"/>
        <n v="18990000"/>
        <n v="31004000"/>
        <n v="20294000"/>
        <n v="22546000"/>
        <n v="37938000"/>
        <n v="29466000"/>
        <n v="34658000"/>
        <n v="22608000"/>
        <n v="41548000"/>
        <n v="40042000"/>
        <n v="26060000"/>
        <n v="25564000"/>
        <n v="33892000"/>
        <n v="49216000"/>
        <n v="53100000"/>
        <n v="36868000"/>
        <n v="33920000"/>
        <n v="27100000"/>
        <n v="27702000"/>
        <n v="33818000"/>
        <n v="26168000"/>
        <n v="31900000"/>
        <n v="31700000"/>
        <n v="46072000"/>
        <n v="33536000"/>
        <n v="28510000"/>
        <n v="25218000"/>
        <n v="35616000"/>
        <n v="27978000"/>
        <n v="26492000"/>
        <n v="27312000"/>
        <n v="42570000"/>
        <n v="39880000"/>
        <n v="48510000"/>
        <n v="35240000"/>
        <n v="24134000"/>
        <n v="28664000"/>
        <n v="26146000"/>
        <n v="25024000"/>
        <n v="25682000"/>
        <n v="21002000"/>
        <n v="29174000"/>
        <n v="26282000"/>
        <n v="30290000"/>
        <n v="23204000"/>
        <n v="24146000"/>
        <n v="29066000"/>
        <n v="32038000"/>
        <n v="44386000"/>
        <n v="81106000"/>
        <n v="41234000"/>
        <n v="44856000"/>
        <n v="28242000"/>
        <n v="44818000"/>
        <n v="26636000"/>
        <n v="25190000"/>
        <n v="28898000"/>
        <n v="30914000"/>
        <n v="34186000"/>
        <n v="46376000"/>
        <n v="33204000"/>
        <n v="31996000"/>
        <n v="21598000"/>
        <n v="22204000"/>
        <n v="23684000"/>
        <n v="32352000"/>
        <n v="40632000"/>
        <n v="31832000"/>
        <n v="22440000"/>
        <n v="21572000"/>
        <n v="35224000"/>
        <n v="21482000"/>
        <n v="23354000"/>
        <n v="21158000"/>
        <n v="18696000"/>
        <n v="24458000"/>
        <n v="24120000"/>
        <n v="24240000"/>
        <n v="17942000"/>
        <n v="25904000"/>
        <n v="21958000"/>
        <n v="22098000"/>
        <n v="21562000"/>
        <n v="26472000"/>
        <n v="25842000"/>
        <n v="46116000"/>
        <n v="27414000"/>
        <n v="22390000"/>
        <n v="19148000"/>
        <n v="21362000"/>
        <n v="34594000"/>
        <n v="28526000"/>
        <n v="23108000"/>
        <n v="24474000"/>
        <n v="18110000"/>
        <n v="25982000"/>
        <n v="26404000"/>
        <n v="24060000"/>
        <n v="23790000"/>
        <n v="18632000"/>
        <n v="17668000"/>
        <n v="19240000"/>
        <n v="23742000"/>
        <n v="24218000"/>
        <n v="20424000"/>
        <n v="27968000"/>
        <n v="26312000"/>
        <n v="20746000"/>
        <n v="14302000"/>
        <n v="41506000"/>
        <n v="30572000"/>
        <n v="54710000"/>
        <n v="95130000"/>
        <n v="31716000"/>
        <n v="25576000"/>
        <n v="21634000"/>
        <n v="20762000"/>
        <n v="19676000"/>
        <n v="17870000"/>
        <n v="20488000"/>
        <n v="17760000"/>
        <n v="19414000"/>
        <n v="15352000"/>
        <n v="16506000"/>
        <n v="15948000"/>
        <n v="22384000"/>
        <n v="21716000"/>
        <n v="19258000"/>
        <n v="21782000"/>
        <n v="31194000"/>
        <n v="28454000"/>
        <n v="19268000"/>
        <n v="15848000"/>
        <n v="20610000"/>
        <n v="28780000"/>
        <n v="24434000"/>
        <n v="22448000"/>
        <n v="21936000"/>
        <n v="32342000"/>
        <n v="19850000"/>
        <n v="20124000"/>
        <n v="18344000"/>
        <n v="15314000"/>
        <n v="36840000"/>
        <n v="22094000"/>
        <n v="19674000"/>
        <n v="27408000"/>
        <n v="26190000"/>
        <n v="53384000"/>
        <n v="46518000"/>
        <n v="25332000"/>
        <n v="25056000"/>
        <n v="20952000"/>
        <n v="22984000"/>
        <n v="21882000"/>
        <n v="45772000"/>
        <n v="30848000"/>
        <n v="37996000"/>
        <n v="35360000"/>
        <n v="51202000"/>
        <n v="32404000"/>
        <n v="24364000"/>
        <n v="25110000"/>
        <n v="26526000"/>
        <n v="17954000"/>
        <n v="36332000"/>
        <n v="19654000"/>
        <n v="31894000"/>
        <n v="30274000"/>
        <n v="20396000"/>
        <n v="20164000"/>
        <n v="23288000"/>
        <n v="26292000"/>
        <n v="50588000"/>
        <n v="34412000"/>
        <n v="49236000"/>
        <n v="85782000"/>
        <n v="36206000"/>
        <n v="43320000"/>
        <n v="46924000"/>
        <n v="33482000"/>
        <n v="27494000"/>
        <n v="38412000"/>
        <n v="38354000"/>
        <n v="23052000"/>
        <n v="19530000"/>
        <n v="29970000"/>
        <n v="16518000"/>
        <n v="22360000"/>
        <n v="23508000"/>
        <n v="18904000"/>
        <n v="19594000"/>
        <n v="35608000"/>
        <n v="33682000"/>
        <n v="30594000"/>
        <n v="27218000"/>
        <n v="18040000"/>
        <n v="30470000"/>
        <n v="32596000"/>
        <n v="42068000"/>
        <n v="34020000"/>
        <n v="29194000"/>
        <n v="41230000"/>
        <n v="30618000"/>
        <n v="32240000"/>
        <n v="24270000"/>
        <n v="23270000"/>
        <n v="27070000"/>
        <n v="38446000"/>
        <n v="36370000"/>
        <n v="33650000"/>
        <n v="50416000"/>
        <n v="27192000"/>
        <n v="28756000"/>
        <n v="26322000"/>
        <n v="26384000"/>
        <n v="15976000"/>
        <n v="18200000"/>
        <n v="17788000"/>
        <n v="15688000"/>
        <n v="18136000"/>
        <n v="28646000"/>
        <n v="28400000"/>
        <n v="54618000"/>
        <n v="37348000"/>
        <n v="29760000"/>
        <n v="44408000"/>
        <n v="28730000"/>
        <n v="26108000"/>
        <n v="31436000"/>
        <n v="29662000"/>
        <n v="34872000"/>
        <n v="28648000"/>
        <n v="29908000"/>
        <n v="55652000"/>
        <n v="76622000"/>
        <n v="46960000"/>
        <n v="49130000"/>
        <n v="31950000"/>
        <n v="34362000"/>
        <n v="39986000"/>
        <n v="68644000"/>
        <n v="123200000"/>
        <n v="71518000"/>
        <n v="57998000"/>
        <n v="54974000"/>
        <n v="54284000"/>
        <n v="40144000"/>
        <n v="39330000"/>
        <n v="39958000"/>
        <n v="34302000"/>
        <n v="26680000"/>
        <n v="25022000"/>
        <n v="38950000"/>
        <n v="45620000"/>
        <n v="44990000"/>
        <n v="32786000"/>
        <n v="54456000"/>
        <n v="36406000"/>
        <n v="38864000"/>
        <n v="26496000"/>
        <n v="23520000"/>
        <n v="24604000"/>
        <n v="30430000"/>
        <n v="45112000"/>
        <n v="40428000"/>
        <n v="37026000"/>
        <n v="27102000"/>
        <n v="31526000"/>
        <n v="38812000"/>
        <n v="30920000"/>
        <n v="35576000"/>
        <n v="28264000"/>
        <n v="44566000"/>
        <n v="26832000"/>
        <n v="35496000"/>
        <n v="25154000"/>
        <n v="26396000"/>
        <n v="24126000"/>
        <n v="35050000"/>
        <n v="34318000"/>
        <n v="19884000"/>
        <n v="37524000"/>
        <n v="25942000"/>
        <n v="21418000"/>
        <n v="32468000"/>
        <n v="26234000"/>
        <n v="25142000"/>
        <n v="36884000"/>
        <n v="32710000"/>
        <n v="27928000"/>
        <n v="31598000"/>
        <n v="20808000"/>
        <n v="26490000"/>
        <n v="31696000"/>
        <n v="36446000"/>
        <n v="56884000"/>
        <n v="46128000"/>
        <n v="73054000"/>
        <n v="91820000"/>
        <n v="48884000"/>
        <n v="42676000"/>
        <n v="35534000"/>
        <n v="24968000"/>
        <n v="49916000"/>
        <n v="45840000"/>
        <n v="39710000"/>
        <n v="40802000"/>
        <n v="39900000"/>
        <n v="37534000"/>
        <n v="53836000"/>
        <n v="35038000"/>
        <n v="25990000"/>
        <n v="23054000"/>
        <n v="35126000"/>
        <n v="34144000"/>
        <n v="48962000"/>
        <n v="37184000"/>
        <n v="76780000"/>
        <n v="40258000"/>
        <n v="37948000"/>
        <n v="37914000"/>
        <n v="50012000"/>
        <n v="36606000"/>
        <n v="37992000"/>
        <n v="26136000"/>
        <n v="33542000"/>
        <n v="31590000"/>
        <n v="25798000"/>
        <n v="41452000"/>
        <n v="47252000"/>
        <n v="33706000"/>
        <n v="39698000"/>
        <n v="51684000"/>
        <n v="51376000"/>
        <n v="47416000"/>
        <n v="30774000"/>
        <n v="28362000"/>
        <n v="41164000"/>
        <n v="36420000"/>
        <n v="35792000"/>
        <n v="24716000"/>
        <n v="43170000"/>
        <n v="35476000"/>
        <n v="39342000"/>
        <n v="37432000"/>
        <n v="40936000"/>
        <n v="38238000"/>
        <n v="31196000"/>
        <n v="29960000"/>
        <n v="43722000"/>
        <n v="37004000"/>
        <n v="46770000"/>
        <n v="43164600"/>
        <n v="36530900"/>
        <n v="35600400"/>
        <n v="32676200"/>
        <n v="48901200"/>
        <n v="34690900"/>
        <n v="47991000"/>
        <n v="59858500"/>
        <n v="32816600"/>
        <n v="37223400"/>
        <n v="26034300"/>
        <n v="20236000"/>
        <n v="28499000"/>
        <n v="21602900"/>
        <n v="19159500"/>
        <n v="19138300"/>
        <n v="19086500"/>
        <n v="30930400"/>
        <n v="24293700"/>
        <n v="19096300"/>
        <n v="19494800"/>
        <n v="19041200"/>
        <n v="22847000"/>
        <n v="17987700"/>
        <n v="21809500"/>
        <n v="21456600"/>
        <n v="15870400"/>
        <n v="17734600"/>
        <n v="16956800"/>
        <n v="37245700"/>
        <n v="21191200"/>
        <n v="27513300"/>
        <n v="28627000"/>
        <n v="28360900"/>
        <n v="24160700"/>
        <n v="25068300"/>
        <n v="23167000"/>
        <n v="24238300"/>
        <n v="23197700"/>
        <n v="22966800"/>
        <n v="38172900"/>
        <n v="26395100"/>
        <n v="34188300"/>
        <n v="42797200"/>
        <n v="23036800"/>
        <n v="26517100"/>
        <n v="31487300"/>
        <n v="34298600"/>
        <n v="31625400"/>
        <n v="27072700"/>
        <n v="30072800"/>
        <n v="32466300"/>
        <n v="31047200"/>
        <n v="32941500"/>
        <n v="27982000"/>
        <n v="28850800"/>
        <n v="22176900"/>
        <n v="22324000"/>
        <n v="27502800"/>
        <n v="18225100"/>
        <n v="26507100"/>
        <n v="21876400"/>
        <n v="34574500"/>
        <n v="25410700"/>
        <n v="28419200"/>
        <n v="24060700"/>
        <n v="23811100"/>
        <n v="25323200"/>
        <n v="32458700"/>
        <n v="27176400"/>
        <n v="40611400"/>
        <n v="88114100"/>
        <n v="60710900"/>
        <n v="43697300"/>
        <n v="31675000"/>
        <n v="47161400"/>
        <n v="57038300"/>
        <n v="61288000"/>
        <n v="51124900"/>
        <n v="34078900"/>
        <n v="30429000"/>
        <n v="31769100"/>
        <n v="51620100"/>
        <n v="33090500"/>
        <n v="30179500"/>
        <n v="41640800"/>
        <n v="29105200"/>
        <n v="26052600"/>
        <n v="28342300"/>
        <n v="21647400"/>
        <n v="23438500"/>
        <n v="18868100"/>
        <n v="9701400"/>
        <n v="26237500"/>
        <n v="20061700"/>
        <n v="43647500"/>
        <n v="28687100"/>
        <n v="21480700"/>
        <n v="24405100"/>
        <n v="24910700"/>
        <n v="31045400"/>
        <n v="32213300"/>
        <n v="28225400"/>
        <n v="29420000"/>
        <n v="40593700"/>
        <n v="28733600"/>
        <n v="40107000"/>
        <n v="58011800"/>
        <n v="29493000"/>
        <n v="23453800"/>
        <n v="24745600"/>
        <n v="27658300"/>
        <n v="23003000"/>
        <n v="20097300"/>
        <n v="19523200"/>
        <n v="23333500"/>
        <n v="23986300"/>
        <n v="28131200"/>
        <n v="34854800"/>
        <n v="27194400"/>
        <n v="41381500"/>
        <n v="29003900"/>
        <n v="30467800"/>
        <n v="26862000"/>
        <n v="30258100"/>
        <n v="26329200"/>
        <n v="32602400"/>
        <n v="29116700"/>
        <n v="37000400"/>
        <n v="63191100"/>
        <n v="40005100"/>
        <n v="33078500"/>
        <n v="42330000"/>
        <n v="30114000"/>
        <n v="33879800"/>
        <n v="27226200"/>
        <n v="29870700"/>
        <n v="35531100"/>
        <n v="69883800"/>
        <n v="65309300"/>
        <n v="31999600"/>
        <n v="49010200"/>
        <n v="94743500"/>
        <n v="119455000"/>
        <n v="54980700"/>
        <n v="50076100"/>
        <n v="54726100"/>
        <n v="50169000"/>
        <n v="42462600"/>
        <n v="34284100"/>
        <n v="33629300"/>
        <n v="30884000"/>
        <n v="41206400"/>
        <n v="36585100"/>
        <n v="27502300"/>
        <n v="30142000"/>
        <n v="31111200"/>
        <n v="32204400"/>
        <n v="35160100"/>
        <n v="32639300"/>
        <n v="27835500"/>
        <n v="34103300"/>
        <n v="28813500"/>
        <n v="35941000"/>
        <n v="37335600"/>
        <n v="36050200"/>
        <n v="50622100"/>
        <n v="65492000"/>
        <n v="61028500"/>
        <n v="32960400"/>
        <n v="42110300"/>
        <n v="43427400"/>
        <n v="40797800"/>
        <n v="30393300"/>
        <n v="31120900"/>
        <n v="32057900"/>
        <n v="28779600"/>
        <n v="33086200"/>
        <n v="36863400"/>
        <n v="25035400"/>
        <n v="24420100"/>
        <n v="28290500"/>
        <n v="48711500"/>
        <n v="27067400"/>
        <n v="26311800"/>
        <n v="24370300"/>
        <n v="24843600"/>
        <n v="26578000"/>
        <n v="37571200"/>
        <n v="26596400"/>
        <n v="20905700"/>
        <n v="27820800"/>
        <n v="25800100"/>
        <n v="23542800"/>
        <n v="46664100"/>
        <n v="53347600"/>
        <n v="50089200"/>
        <n v="36139800"/>
        <n v="26681700"/>
        <n v="30997200"/>
        <n v="21795400"/>
        <n v="23419500"/>
        <n v="26625100"/>
        <n v="26511400"/>
        <n v="36360100"/>
        <n v="63153400"/>
        <n v="78900000"/>
        <n v="41073800"/>
        <n v="36266800"/>
        <n v="45035600"/>
        <n v="33323600"/>
        <n v="35234200"/>
        <n v="41330300"/>
        <n v="35253000"/>
        <n v="34046300"/>
        <n v="34182600"/>
        <n v="42317000"/>
        <n v="35635900"/>
        <n v="35076700"/>
        <n v="37325800"/>
        <n v="30772700"/>
        <n v="26963100"/>
        <n v="32305500"/>
        <n v="26638300"/>
        <n v="52539000"/>
        <n v="29389200"/>
        <n v="23762500"/>
        <n v="28306400"/>
        <n v="22278300"/>
        <n v="30592300"/>
        <n v="35246300"/>
        <n v="45514000"/>
        <n v="26097500"/>
        <n v="30306300"/>
        <n v="26952200"/>
        <n v="34885300"/>
        <n v="33969900"/>
        <n v="39535900"/>
        <n v="27091400"/>
        <n v="24090900"/>
        <n v="29519700"/>
        <n v="14467900"/>
        <n v="27584800"/>
        <n v="24745200"/>
        <n v="21692600"/>
        <n v="35315200"/>
        <n v="23078800"/>
        <n v="30404400"/>
        <n v="44297900"/>
        <n v="33266800"/>
        <n v="25716200"/>
        <n v="26226400"/>
        <n v="37224000"/>
        <n v="37906800"/>
        <n v="72937900"/>
        <n v="29686100"/>
        <n v="52509600"/>
        <n v="61682100"/>
        <n v="44952100"/>
        <n v="36591200"/>
        <n v="28055500"/>
        <n v="23166800"/>
        <n v="26273300"/>
        <n v="20089500"/>
        <n v="26130000"/>
        <n v="22746300"/>
        <n v="23535200"/>
        <n v="24912900"/>
        <n v="20857800"/>
        <n v="19569200"/>
        <n v="24695600"/>
        <n v="19770700"/>
        <n v="25216100"/>
        <n v="33446300"/>
        <n v="30491300"/>
        <n v="25248700"/>
        <n v="22067500"/>
        <n v="27819700"/>
        <n v="28500700"/>
        <n v="26762900"/>
        <n v="20543300"/>
        <n v="43075600"/>
        <n v="28315800"/>
        <n v="30053800"/>
        <n v="21524600"/>
        <n v="19403100"/>
        <n v="18684500"/>
        <n v="18844300"/>
        <n v="23558300"/>
        <n v="20763400"/>
        <n v="18405500"/>
        <n v="20749500"/>
        <n v="24751000"/>
        <n v="38908400"/>
        <n v="21861300"/>
        <n v="20353700"/>
        <n v="29927500"/>
        <n v="31488700"/>
        <n v="26397300"/>
        <n v="20094600"/>
        <n v="25718700"/>
        <n v="22746500"/>
        <n v="22513100"/>
        <n v="30848100"/>
        <n v="22989400"/>
        <n v="26752300"/>
        <n v="19832600"/>
        <n v="27583200"/>
        <n v="19278100"/>
        <n v="27786600"/>
        <n v="25884300"/>
        <n v="24765500"/>
        <n v="23420500"/>
        <n v="28501900"/>
        <n v="23515800"/>
        <n v="23375000"/>
        <n v="26066000"/>
        <n v="26315200"/>
        <n v="26317900"/>
        <n v="44814300"/>
        <n v="84366200"/>
        <n v="57061100"/>
        <n v="44566500"/>
        <n v="28940100"/>
        <n v="26292300"/>
        <n v="30082400"/>
        <n v="27124600"/>
        <n v="26380100"/>
        <n v="19052700"/>
        <n v="29757300"/>
        <n v="26425800"/>
        <n v="23747800"/>
        <n v="26913300"/>
        <n v="18324800"/>
        <n v="32395200"/>
        <n v="23861500"/>
        <n v="28013200"/>
        <n v="37240600"/>
        <n v="27815500"/>
        <n v="22635300"/>
        <n v="17813900"/>
        <n v="12514300"/>
        <n v="23436500"/>
        <n v="18730000"/>
        <n v="23967200"/>
        <n v="38988300"/>
        <n v="31431200"/>
        <n v="36669900"/>
        <n v="27384800"/>
        <n v="23576200"/>
        <n v="56767100"/>
        <n v="32233900"/>
        <n v="31138000"/>
        <n v="29032800"/>
        <n v="30104800"/>
        <n v="38722400"/>
        <n v="50815200"/>
        <n v="32258000"/>
        <n v="25476800"/>
        <n v="49107200"/>
        <n v="27488300"/>
        <n v="26514600"/>
        <n v="16780300"/>
        <n v="19628600"/>
        <n v="16045700"/>
        <n v="18727200"/>
        <n v="23711200"/>
        <n v="24212100"/>
        <n v="27137700"/>
        <n v="22506000"/>
        <n v="21404000"/>
        <n v="24759600"/>
        <n v="21320200"/>
        <n v="24008700"/>
        <n v="18768600"/>
        <n v="22670500"/>
        <n v="20968600"/>
        <n v="25746400"/>
        <n v="33300700"/>
        <n v="32200400"/>
        <n v="21636100"/>
        <n v="25233500"/>
        <n v="29149100"/>
        <n v="26115500"/>
        <n v="27784300"/>
        <n v="36331800"/>
        <n v="71910000"/>
        <n v="40466500"/>
        <n v="62470600"/>
        <n v="38505400"/>
        <n v="29128200"/>
        <n v="25208900"/>
        <n v="22563800"/>
        <n v="26829500"/>
        <n v="21564100"/>
        <n v="27837700"/>
        <n v="22704200"/>
        <n v="37590700"/>
        <n v="31451100"/>
        <n v="25144700"/>
        <n v="23315700"/>
        <n v="27191900"/>
        <n v="19493800"/>
        <n v="53641800"/>
        <n v="33099200"/>
        <n v="37328600"/>
        <n v="42133000"/>
        <n v="31119500"/>
        <n v="55999400"/>
        <n v="40194800"/>
        <n v="35318600"/>
        <n v="37738200"/>
        <n v="39343100"/>
        <n v="32437800"/>
        <n v="27563400"/>
        <n v="23347200"/>
        <n v="42753400"/>
        <n v="49460600"/>
        <n v="69273700"/>
        <n v="24070400"/>
        <n v="21311500"/>
        <n v="24755600"/>
        <n v="29175700"/>
        <n v="19229300"/>
        <n v="22149100"/>
        <n v="22879200"/>
        <n v="24485400"/>
        <n v="31730800"/>
        <n v="24586000"/>
        <n v="24705000"/>
        <n v="34724700"/>
        <n v="23449300"/>
        <n v="20702000"/>
        <n v="31113000"/>
        <n v="22838600"/>
        <n v="27166400"/>
        <n v="25329200"/>
        <n v="27136500"/>
        <n v="20779500"/>
        <n v="21763100"/>
        <n v="19883000"/>
        <n v="32239100"/>
        <n v="26446200"/>
        <n v="21151600"/>
        <n v="22779100"/>
        <n v="57109700"/>
        <n v="64665300"/>
        <n v="45610000"/>
        <n v="33562900"/>
        <n v="33493200"/>
        <n v="24294500"/>
        <n v="34662400"/>
        <n v="21871300"/>
        <n v="28039700"/>
        <n v="19569100"/>
        <n v="15346700"/>
        <n v="29799900"/>
        <n v="31327600"/>
        <n v="25127100"/>
        <n v="26948400"/>
        <n v="27867900"/>
        <n v="24479300"/>
        <n v="22554400"/>
        <n v="16989400"/>
        <n v="17880000"/>
        <n v="21024900"/>
        <n v="16572500"/>
        <n v="20572200"/>
        <n v="23388700"/>
        <n v="22958700"/>
        <n v="37638900"/>
        <n v="27459100"/>
        <n v="26879600"/>
        <n v="22068500"/>
        <n v="23251000"/>
        <n v="19661400"/>
        <n v="23779200"/>
        <n v="21540600"/>
        <n v="27864700"/>
        <n v="20913300"/>
        <n v="18063600"/>
        <n v="19618500"/>
        <n v="21869900"/>
        <n v="20160100"/>
        <n v="58582700"/>
        <n v="18298000"/>
        <n v="23235600"/>
        <n v="19839000"/>
        <n v="18848900"/>
        <n v="29156600"/>
        <n v="16006100"/>
        <n v="17372500"/>
        <n v="10242100"/>
        <n v="20967500"/>
        <n v="21035900"/>
        <n v="15121400"/>
        <n v="15952500"/>
        <n v="25625800"/>
        <n v="22898400"/>
        <n v="16474000"/>
        <n v="18290700"/>
        <n v="20734100"/>
        <n v="25315700"/>
        <n v="18881900"/>
        <n v="24100300"/>
        <n v="36352700"/>
        <n v="49585200"/>
        <n v="44852000"/>
        <n v="41336900"/>
        <n v="20293800"/>
        <n v="18959700"/>
        <n v="25729100"/>
        <n v="24531400"/>
        <n v="29130100"/>
        <n v="53630700"/>
        <n v="49004600"/>
        <n v="25138600"/>
        <n v="25578800"/>
        <n v="28602300"/>
        <n v="15895300"/>
        <n v="18551700"/>
        <n v="40591100"/>
        <n v="31524300"/>
        <n v="24208600"/>
        <n v="22416200"/>
        <n v="18341500"/>
        <n v="22902000"/>
        <n v="22493300"/>
        <n v="13955700"/>
        <n v="14190400"/>
        <n v="11821900"/>
        <n v="16407400"/>
        <n v="19699800"/>
        <n v="22123800"/>
        <n v="38945300"/>
        <n v="19353800"/>
        <n v="18688700"/>
        <n v="37912100"/>
        <n v="39260500"/>
        <n v="31118800"/>
        <n v="29607700"/>
        <n v="29695000"/>
        <n v="29591200"/>
        <n v="18379800"/>
        <n v="20715600"/>
        <n v="23677300"/>
        <n v="26587700"/>
        <n v="40896400"/>
        <n v="24150900"/>
        <n v="23332100"/>
        <n v="18869200"/>
        <n v="20319300"/>
        <n v="21101300"/>
        <n v="20413900"/>
        <n v="28338100"/>
        <n v="17760200"/>
        <n v="15073100"/>
        <n v="19047400"/>
        <n v="22463100"/>
        <n v="23072700"/>
        <n v="31181800"/>
        <n v="14144100"/>
        <n v="15344300"/>
        <n v="19016100"/>
        <n v="20247200"/>
        <n v="16406000"/>
        <n v="21453400"/>
        <n v="19757700"/>
        <n v="20946500"/>
        <n v="16568100"/>
        <n v="18280500"/>
        <n v="22412500"/>
        <n v="19828900"/>
        <n v="32138600"/>
        <n v="42169000"/>
        <n v="68890800"/>
        <n v="44769000"/>
        <n v="31796500"/>
        <n v="21492700"/>
        <n v="18242100"/>
        <n v="33695500"/>
        <n v="25352900"/>
        <n v="22006200"/>
        <n v="17450400"/>
        <n v="25134900"/>
        <n v="23184000"/>
        <n v="31007500"/>
        <n v="32504600"/>
        <n v="20206600"/>
        <n v="23434900"/>
        <n v="18997100"/>
        <n v="59734400"/>
        <n v="38604600"/>
        <n v="33135300"/>
        <n v="20486700"/>
        <n v="19266500"/>
        <n v="14257200"/>
        <n v="23789100"/>
        <n v="22248700"/>
        <n v="31615100"/>
        <n v="21356200"/>
        <n v="21462400"/>
        <n v="25389600"/>
        <n v="54813000"/>
        <n v="67894100"/>
        <n v="34817500"/>
        <n v="25143500"/>
        <n v="44934900"/>
        <n v="43504000"/>
        <n v="34166100"/>
        <n v="32265200"/>
        <n v="63462900"/>
        <n v="25675000"/>
        <n v="10403300"/>
        <n v="12046600"/>
        <n v="18891400"/>
        <n v="14264700"/>
        <n v="17466900"/>
      </sharedItems>
    </cacheField>
    <cacheField name="Quarters" numFmtId="0" databaseField="0">
      <fieldGroup base="0">
        <rangePr groupBy="quarters" startDate="2020-01-03T00:00:00" endDate="2025-01-01T00:00:00"/>
        <groupItems count="6">
          <s v="&lt;03-01-2020"/>
          <s v="Qtr1"/>
          <s v="Qtr2"/>
          <s v="Qtr3"/>
          <s v="Qtr4"/>
          <s v="&gt;01-01-2025"/>
        </groupItems>
      </fieldGroup>
    </cacheField>
    <cacheField name="Years" numFmtId="0" databaseField="0">
      <fieldGroup base="0">
        <rangePr groupBy="years" startDate="2020-01-03T00:00:00" endDate="2025-01-01T00:00:00"/>
        <groupItems count="8">
          <s v="&lt;03-01-2020"/>
          <s v="2020"/>
          <s v="2021"/>
          <s v="2022"/>
          <s v="2023"/>
          <s v="2024"/>
          <s v="2025"/>
          <s v="&gt;01-01-2025"/>
        </groupItems>
      </fieldGroup>
    </cacheField>
  </cacheFields>
  <extLst>
    <ext xmlns:x14="http://schemas.microsoft.com/office/spreadsheetml/2009/9/main" uri="{725AE2AE-9491-48be-B2B4-4EB974FC3084}">
      <x14:pivotCacheDefinition pivotCacheId="190518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8">
  <r>
    <x v="0"/>
    <x v="0"/>
    <x v="0"/>
    <x v="0"/>
    <s v="Q1"/>
    <n v="68.186820979999993"/>
    <n v="68.433998110000005"/>
    <n v="68.433998110000005"/>
    <n v="67.324501040000001"/>
    <n v="67.420501709999996"/>
    <x v="0"/>
  </r>
  <r>
    <x v="1"/>
    <x v="1"/>
    <x v="0"/>
    <x v="0"/>
    <s v="Q1"/>
    <n v="67.830101010000007"/>
    <n v="68.075996399999994"/>
    <n v="68.6875"/>
    <n v="67.365997309999997"/>
    <n v="67.400001529999997"/>
    <x v="1"/>
  </r>
  <r>
    <x v="2"/>
    <x v="2"/>
    <x v="0"/>
    <x v="0"/>
    <s v="Q1"/>
    <n v="69.638053889999995"/>
    <n v="69.890502929999997"/>
    <n v="69.916000370000006"/>
    <n v="67.550003050000001"/>
    <n v="67.581497189999993"/>
    <x v="2"/>
  </r>
  <r>
    <x v="3"/>
    <x v="3"/>
    <x v="0"/>
    <x v="0"/>
    <s v="Q1"/>
    <n v="69.503547670000003"/>
    <n v="69.755500789999999"/>
    <n v="70.175003050000001"/>
    <n v="69.578002929999997"/>
    <n v="70.02300262"/>
    <x v="3"/>
  </r>
  <r>
    <x v="4"/>
    <x v="4"/>
    <x v="0"/>
    <x v="0"/>
    <s v="Q1"/>
    <n v="69.998252870000002"/>
    <n v="70.251998900000004"/>
    <n v="70.59249878"/>
    <n v="69.631500239999994"/>
    <n v="69.740997309999997"/>
    <x v="4"/>
  </r>
  <r>
    <x v="5"/>
    <x v="5"/>
    <x v="0"/>
    <x v="0"/>
    <s v="Q1"/>
    <n v="70.733093260000004"/>
    <n v="70.989501950000005"/>
    <n v="71.433998110000005"/>
    <n v="70.510498049999995"/>
    <n v="71.096496579999993"/>
    <x v="5"/>
  </r>
  <r>
    <x v="6"/>
    <x v="6"/>
    <x v="0"/>
    <x v="0"/>
    <s v="Q1"/>
    <n v="71.189926150000005"/>
    <n v="71.447998049999995"/>
    <n v="71.747001650000001"/>
    <n v="70.980003359999998"/>
    <n v="71.473503109999996"/>
    <x v="6"/>
  </r>
  <r>
    <x v="7"/>
    <x v="7"/>
    <x v="0"/>
    <x v="0"/>
    <s v="Q1"/>
    <n v="71.741432189999998"/>
    <n v="72.001502990000006"/>
    <n v="72.073997500000004"/>
    <n v="71.268501279999995"/>
    <n v="71.762496949999999"/>
    <x v="7"/>
  </r>
  <r>
    <x v="8"/>
    <x v="8"/>
    <x v="0"/>
    <x v="0"/>
    <s v="Q1"/>
    <n v="71.271141049999997"/>
    <n v="71.529502870000002"/>
    <n v="72.131500239999994"/>
    <n v="71.388496399999994"/>
    <n v="72"/>
    <x v="8"/>
  </r>
  <r>
    <x v="9"/>
    <x v="9"/>
    <x v="0"/>
    <x v="0"/>
    <s v="Q1"/>
    <n v="71.700080869999994"/>
    <n v="71.959999080000003"/>
    <n v="72.039001459999994"/>
    <n v="71.583000179999999"/>
    <n v="71.651000980000006"/>
    <x v="9"/>
  </r>
  <r>
    <x v="10"/>
    <x v="10"/>
    <x v="0"/>
    <x v="0"/>
    <s v="Q1"/>
    <n v="72.246101379999999"/>
    <n v="72.50800323"/>
    <n v="72.535003660000001"/>
    <n v="72"/>
    <n v="72.272499080000003"/>
    <x v="10"/>
  </r>
  <r>
    <x v="11"/>
    <x v="11"/>
    <x v="0"/>
    <x v="0"/>
    <s v="Q1"/>
    <n v="73.708793639999996"/>
    <n v="73.975997919999998"/>
    <n v="74.027496339999999"/>
    <n v="72.82749939"/>
    <n v="73.126998900000004"/>
    <x v="11"/>
  </r>
  <r>
    <x v="12"/>
    <x v="12"/>
    <x v="0"/>
    <x v="0"/>
    <s v="Q1"/>
    <n v="73.844818119999999"/>
    <n v="74.112503050000001"/>
    <n v="74.494003300000003"/>
    <n v="73.510498049999995"/>
    <n v="73.949996949999999"/>
    <x v="12"/>
  </r>
  <r>
    <x v="13"/>
    <x v="13"/>
    <x v="0"/>
    <x v="0"/>
    <s v="Q1"/>
    <n v="73.925506589999998"/>
    <n v="74.193496699999997"/>
    <n v="75.028999330000005"/>
    <n v="74.13300323"/>
    <n v="74.486503600000006"/>
    <x v="13"/>
  </r>
  <r>
    <x v="14"/>
    <x v="14"/>
    <x v="0"/>
    <x v="0"/>
    <s v="Q1"/>
    <n v="73.966362000000004"/>
    <n v="74.234497070000003"/>
    <n v="74.675003050000001"/>
    <n v="74.015998839999995"/>
    <n v="74.377502440000001"/>
    <x v="14"/>
  </r>
  <r>
    <x v="15"/>
    <x v="15"/>
    <x v="0"/>
    <x v="0"/>
    <s v="Q1"/>
    <n v="73.043708800000005"/>
    <n v="73.308502200000007"/>
    <n v="74.709999080000003"/>
    <n v="73.158996579999993"/>
    <n v="74.640998839999995"/>
    <x v="15"/>
  </r>
  <r>
    <x v="16"/>
    <x v="16"/>
    <x v="0"/>
    <x v="0"/>
    <s v="Q1"/>
    <n v="71.32793427"/>
    <n v="71.586502080000002"/>
    <n v="71.829002380000006"/>
    <n v="70.974998470000003"/>
    <n v="71.577003480000002"/>
    <x v="16"/>
  </r>
  <r>
    <x v="17"/>
    <x v="17"/>
    <x v="0"/>
    <x v="0"/>
    <s v="Q1"/>
    <n v="72.263038640000005"/>
    <n v="72.525001529999997"/>
    <n v="72.739997860000003"/>
    <n v="71.517997739999998"/>
    <n v="72.08699799"/>
    <x v="17"/>
  </r>
  <r>
    <x v="18"/>
    <x v="18"/>
    <x v="0"/>
    <x v="0"/>
    <s v="Q1"/>
    <n v="72.571914669999998"/>
    <n v="72.834999080000003"/>
    <n v="73.207000730000004"/>
    <n v="72.269500730000004"/>
    <n v="72.922996519999998"/>
    <x v="18"/>
  </r>
  <r>
    <x v="19"/>
    <x v="19"/>
    <x v="0"/>
    <x v="0"/>
    <s v="Q1"/>
    <n v="72.449867249999997"/>
    <n v="72.712501529999997"/>
    <n v="72.762496949999999"/>
    <n v="71.75"/>
    <n v="71.90499878"/>
    <x v="19"/>
  </r>
  <r>
    <x v="20"/>
    <x v="0"/>
    <x v="1"/>
    <x v="0"/>
    <s v="Q1"/>
    <n v="71.380241389999995"/>
    <n v="71.638999940000005"/>
    <n v="73.483497619999994"/>
    <n v="71.352996829999995"/>
    <n v="73.392997739999998"/>
    <x v="20"/>
  </r>
  <r>
    <x v="21"/>
    <x v="20"/>
    <x v="1"/>
    <x v="0"/>
    <s v="Q1"/>
    <n v="73.862243649999996"/>
    <n v="74.129997250000002"/>
    <n v="74.315002440000001"/>
    <n v="72.830497739999998"/>
    <n v="73.082496640000002"/>
    <x v="21"/>
  </r>
  <r>
    <x v="22"/>
    <x v="21"/>
    <x v="1"/>
    <x v="0"/>
    <s v="Q1"/>
    <n v="72.009460450000006"/>
    <n v="72.270500179999999"/>
    <n v="73.36699677"/>
    <n v="71.101501459999994"/>
    <n v="72.724502560000005"/>
    <x v="22"/>
  </r>
  <r>
    <x v="23"/>
    <x v="1"/>
    <x v="1"/>
    <x v="0"/>
    <s v="Q1"/>
    <n v="72.041343690000005"/>
    <n v="72.302497860000003"/>
    <n v="73.228996280000004"/>
    <n v="71.484001160000005"/>
    <n v="73.180496219999995"/>
    <x v="23"/>
  </r>
  <r>
    <x v="24"/>
    <x v="2"/>
    <x v="1"/>
    <x v="0"/>
    <s v="Q1"/>
    <n v="73.531944269999997"/>
    <n v="73.798500059999995"/>
    <n v="74.078002929999997"/>
    <n v="72.524002080000002"/>
    <n v="72.598999019999994"/>
    <x v="24"/>
  </r>
  <r>
    <x v="25"/>
    <x v="5"/>
    <x v="1"/>
    <x v="0"/>
    <s v="Q1"/>
    <n v="73.688369750000007"/>
    <n v="73.955497739999998"/>
    <n v="74.262496949999999"/>
    <n v="73.270500179999999"/>
    <n v="73.369499210000001"/>
    <x v="25"/>
  </r>
  <r>
    <x v="26"/>
    <x v="22"/>
    <x v="1"/>
    <x v="0"/>
    <s v="Q1"/>
    <n v="75.160545350000007"/>
    <n v="75.432998659999996"/>
    <n v="75.444000239999994"/>
    <n v="73.760002139999997"/>
    <n v="73.861503600000006"/>
    <x v="26"/>
  </r>
  <r>
    <x v="27"/>
    <x v="23"/>
    <x v="1"/>
    <x v="0"/>
    <s v="Q1"/>
    <n v="75.23027802"/>
    <n v="75.502998349999999"/>
    <n v="76.494003300000003"/>
    <n v="75.272499080000003"/>
    <n v="75.663497919999998"/>
    <x v="27"/>
  </r>
  <r>
    <x v="28"/>
    <x v="6"/>
    <x v="1"/>
    <x v="0"/>
    <s v="Q1"/>
    <n v="75.657241819999996"/>
    <n v="75.931503300000003"/>
    <n v="76.01499939"/>
    <n v="75.433502200000007"/>
    <n v="75.792999269999996"/>
    <x v="28"/>
  </r>
  <r>
    <x v="29"/>
    <x v="7"/>
    <x v="1"/>
    <x v="0"/>
    <s v="Q1"/>
    <n v="75.396186830000005"/>
    <n v="75.669502260000002"/>
    <n v="76.29750061"/>
    <n v="75.199996949999999"/>
    <n v="75.5"/>
    <x v="29"/>
  </r>
  <r>
    <x v="30"/>
    <x v="24"/>
    <x v="1"/>
    <x v="0"/>
    <s v="Q1"/>
    <n v="75.662216189999995"/>
    <n v="75.936500550000005"/>
    <n v="76.002502440000001"/>
    <n v="75.277496339999999"/>
    <n v="75.726501459999994"/>
    <x v="30"/>
  </r>
  <r>
    <x v="31"/>
    <x v="25"/>
    <x v="1"/>
    <x v="0"/>
    <s v="Q1"/>
    <n v="75.697593690000005"/>
    <n v="75.972000120000004"/>
    <n v="76.527999879999996"/>
    <n v="75.550498959999999"/>
    <n v="75.717002870000002"/>
    <x v="31"/>
  </r>
  <r>
    <x v="32"/>
    <x v="26"/>
    <x v="1"/>
    <x v="0"/>
    <s v="Q1"/>
    <n v="75.968109130000002"/>
    <n v="76.243499760000006"/>
    <n v="76.537002560000005"/>
    <n v="76.049003600000006"/>
    <n v="76.36000061"/>
    <x v="32"/>
  </r>
  <r>
    <x v="33"/>
    <x v="11"/>
    <x v="1"/>
    <x v="0"/>
    <s v="Q1"/>
    <n v="75.575531010000006"/>
    <n v="75.849502560000005"/>
    <n v="76.353500370000006"/>
    <n v="75.212997439999995"/>
    <n v="75.950500489999996"/>
    <x v="33"/>
  </r>
  <r>
    <x v="34"/>
    <x v="14"/>
    <x v="1"/>
    <x v="0"/>
    <s v="Q1"/>
    <n v="73.905082699999994"/>
    <n v="74.172996519999998"/>
    <n v="75.54750061"/>
    <n v="73.924499510000004"/>
    <n v="75.228996280000004"/>
    <x v="34"/>
  </r>
  <r>
    <x v="35"/>
    <x v="27"/>
    <x v="1"/>
    <x v="0"/>
    <s v="Q1"/>
    <n v="70.736572269999996"/>
    <n v="70.992996219999995"/>
    <n v="71.819000239999994"/>
    <n v="70.339500430000001"/>
    <n v="71.152496339999999"/>
    <x v="35"/>
  </r>
  <r>
    <x v="36"/>
    <x v="28"/>
    <x v="1"/>
    <x v="0"/>
    <s v="Q1"/>
    <n v="69.065628050000001"/>
    <n v="69.316001889999995"/>
    <n v="71.84249878"/>
    <n v="69.021003719999996"/>
    <n v="71.550003050000001"/>
    <x v="36"/>
  </r>
  <r>
    <x v="37"/>
    <x v="15"/>
    <x v="1"/>
    <x v="0"/>
    <s v="Q1"/>
    <n v="69.27237701"/>
    <n v="69.523498540000006"/>
    <n v="70.683502200000007"/>
    <n v="68.82749939"/>
    <n v="69.749000550000005"/>
    <x v="37"/>
  </r>
  <r>
    <x v="38"/>
    <x v="16"/>
    <x v="1"/>
    <x v="0"/>
    <s v="Q1"/>
    <n v="65.510017399999995"/>
    <n v="65.747497559999999"/>
    <n v="68.47000122"/>
    <n v="65.71199799"/>
    <n v="67.957000730000004"/>
    <x v="38"/>
  </r>
  <r>
    <x v="39"/>
    <x v="29"/>
    <x v="2"/>
    <x v="0"/>
    <s v="Q1"/>
    <n v="66.72062683"/>
    <n v="66.962501529999997"/>
    <n v="67.122497559999999"/>
    <n v="63.410499569999999"/>
    <n v="63.715499880000003"/>
    <x v="39"/>
  </r>
  <r>
    <x v="40"/>
    <x v="0"/>
    <x v="2"/>
    <x v="0"/>
    <s v="Q1"/>
    <n v="69.065628050000001"/>
    <n v="69.316001889999995"/>
    <n v="69.373497009999994"/>
    <n v="66.260002139999997"/>
    <n v="67.569503780000005"/>
    <x v="40"/>
  </r>
  <r>
    <x v="41"/>
    <x v="20"/>
    <x v="2"/>
    <x v="0"/>
    <s v="Q1"/>
    <n v="66.644416809999996"/>
    <n v="66.886001590000006"/>
    <n v="70.409500120000004"/>
    <n v="66.46199799"/>
    <n v="69.884002690000003"/>
    <x v="41"/>
  </r>
  <r>
    <x v="42"/>
    <x v="21"/>
    <x v="2"/>
    <x v="0"/>
    <s v="Q1"/>
    <n v="68.83049011"/>
    <n v="69.08000183"/>
    <n v="69.138999940000005"/>
    <n v="66.849998470000003"/>
    <n v="67.947998049999995"/>
    <x v="42"/>
  </r>
  <r>
    <x v="43"/>
    <x v="1"/>
    <x v="2"/>
    <x v="0"/>
    <s v="Q1"/>
    <n v="65.500556950000004"/>
    <n v="65.737998959999999"/>
    <n v="67.681503300000003"/>
    <n v="65.082000730000004"/>
    <n v="67.277496339999999"/>
    <x v="43"/>
  </r>
  <r>
    <x v="44"/>
    <x v="4"/>
    <x v="2"/>
    <x v="0"/>
    <s v="Q1"/>
    <n v="64.55299377"/>
    <n v="64.787002560000005"/>
    <n v="65.137496949999999"/>
    <n v="62.860500340000002"/>
    <n v="63.497501370000002"/>
    <x v="44"/>
  </r>
  <r>
    <x v="45"/>
    <x v="5"/>
    <x v="2"/>
    <x v="0"/>
    <s v="Q1"/>
    <n v="60.569927219999997"/>
    <n v="60.789501190000003"/>
    <n v="62.63650131"/>
    <n v="59.902000430000001"/>
    <n v="60.248001100000003"/>
    <x v="45"/>
  </r>
  <r>
    <x v="46"/>
    <x v="22"/>
    <x v="2"/>
    <x v="0"/>
    <s v="Q1"/>
    <n v="63.528202059999998"/>
    <n v="63.758499149999999"/>
    <n v="63.792499540000001"/>
    <n v="60.725498199999997"/>
    <n v="62.7195015"/>
    <x v="46"/>
  </r>
  <r>
    <x v="47"/>
    <x v="23"/>
    <x v="2"/>
    <x v="0"/>
    <s v="Q1"/>
    <n v="60.326309199999997"/>
    <n v="60.54499817"/>
    <n v="62.846500399999996"/>
    <n v="59.556999210000001"/>
    <n v="62.413501740000001"/>
    <x v="47"/>
  </r>
  <r>
    <x v="48"/>
    <x v="6"/>
    <x v="2"/>
    <x v="0"/>
    <s v="Q1"/>
    <n v="55.376754759999997"/>
    <n v="55.57749939"/>
    <n v="59.4375"/>
    <n v="55.423500060000002"/>
    <n v="56.131000520000001"/>
    <x v="48"/>
  </r>
  <r>
    <x v="49"/>
    <x v="9"/>
    <x v="2"/>
    <x v="0"/>
    <s v="Q1"/>
    <n v="60.494205469999997"/>
    <n v="60.713500979999999"/>
    <n v="60.72000122"/>
    <n v="55.614498140000002"/>
    <n v="58.749500269999999"/>
    <x v="49"/>
  </r>
  <r>
    <x v="50"/>
    <x v="10"/>
    <x v="2"/>
    <x v="0"/>
    <s v="Q1"/>
    <n v="53.456218720000003"/>
    <n v="53.650001529999997"/>
    <n v="57.273498539999999"/>
    <n v="53.35400009"/>
    <n v="54.480499270000003"/>
    <x v="50"/>
  </r>
  <r>
    <x v="51"/>
    <x v="24"/>
    <x v="2"/>
    <x v="0"/>
    <s v="Q1"/>
    <n v="55.701080320000003"/>
    <n v="55.902999880000003"/>
    <n v="56.299999239999998"/>
    <n v="52.45500183"/>
    <n v="54.5320015"/>
    <x v="51"/>
  </r>
  <r>
    <x v="52"/>
    <x v="25"/>
    <x v="2"/>
    <x v="0"/>
    <s v="Q1"/>
    <n v="54.362430570000001"/>
    <n v="54.559501650000001"/>
    <n v="55.249500269999999"/>
    <n v="51.849998470000003"/>
    <n v="52.997001650000001"/>
    <x v="52"/>
  </r>
  <r>
    <x v="53"/>
    <x v="26"/>
    <x v="2"/>
    <x v="0"/>
    <s v="Q1"/>
    <n v="55.382736209999997"/>
    <n v="55.58349991"/>
    <n v="57.630500789999999"/>
    <n v="52.777500150000002"/>
    <n v="54.4109993"/>
    <x v="53"/>
  </r>
  <r>
    <x v="54"/>
    <x v="13"/>
    <x v="2"/>
    <x v="0"/>
    <s v="Q1"/>
    <n v="53.217582700000001"/>
    <n v="53.410499569999999"/>
    <n v="56.923999790000003"/>
    <n v="53.104999540000001"/>
    <n v="56.54499817"/>
    <x v="54"/>
  </r>
  <r>
    <x v="55"/>
    <x v="14"/>
    <x v="2"/>
    <x v="0"/>
    <s v="Q1"/>
    <n v="52.516124730000001"/>
    <n v="52.706501009999997"/>
    <n v="53.345500950000002"/>
    <n v="50.443500520000001"/>
    <n v="52.818500520000001"/>
    <x v="55"/>
  </r>
  <r>
    <x v="56"/>
    <x v="27"/>
    <x v="2"/>
    <x v="0"/>
    <s v="Q1"/>
    <n v="56.296424870000003"/>
    <n v="56.500499730000001"/>
    <n v="56.66650009"/>
    <n v="54.321498869999999"/>
    <n v="55.19900131"/>
    <x v="56"/>
  </r>
  <r>
    <x v="57"/>
    <x v="28"/>
    <x v="2"/>
    <x v="0"/>
    <s v="Q1"/>
    <n v="54.882049559999999"/>
    <n v="55.081001280000002"/>
    <n v="57.308498380000003"/>
    <n v="54.150501249999998"/>
    <n v="56.22900009"/>
    <x v="57"/>
  </r>
  <r>
    <x v="58"/>
    <x v="15"/>
    <x v="2"/>
    <x v="0"/>
    <s v="Q1"/>
    <n v="57.935977940000001"/>
    <n v="58.14599991"/>
    <n v="58.57400131"/>
    <n v="54.601501460000001"/>
    <n v="55.736000060000002"/>
    <x v="58"/>
  </r>
  <r>
    <x v="59"/>
    <x v="18"/>
    <x v="2"/>
    <x v="0"/>
    <s v="Q1"/>
    <n v="55.312488559999998"/>
    <n v="55.513000490000003"/>
    <n v="57.552501679999999"/>
    <n v="55.200000760000002"/>
    <n v="56.373500819999997"/>
    <x v="59"/>
  </r>
  <r>
    <x v="60"/>
    <x v="19"/>
    <x v="2"/>
    <x v="0"/>
    <s v="Q1"/>
    <n v="57.108474729999998"/>
    <n v="57.315498349999999"/>
    <n v="57.549999239999998"/>
    <n v="54.924499509999997"/>
    <n v="56.631999970000003"/>
    <x v="60"/>
  </r>
  <r>
    <x v="61"/>
    <x v="30"/>
    <x v="3"/>
    <x v="0"/>
    <s v="Q2"/>
    <n v="57.887653350000001"/>
    <n v="58.097499849999998"/>
    <n v="58.66999817"/>
    <n v="56.835998539999999"/>
    <n v="57.436500549999998"/>
    <x v="61"/>
  </r>
  <r>
    <x v="62"/>
    <x v="29"/>
    <x v="3"/>
    <x v="0"/>
    <s v="Q2"/>
    <n v="54.90596008"/>
    <n v="55.104999540000001"/>
    <n v="56.471000670000002"/>
    <n v="54.674499509999997"/>
    <n v="56.200000760000002"/>
    <x v="62"/>
  </r>
  <r>
    <x v="63"/>
    <x v="0"/>
    <x v="3"/>
    <x v="0"/>
    <s v="Q2"/>
    <n v="55.649765010000003"/>
    <n v="55.851501460000001"/>
    <n v="56.138500209999997"/>
    <n v="54.656501769999998"/>
    <n v="55"/>
    <x v="63"/>
  </r>
  <r>
    <x v="64"/>
    <x v="1"/>
    <x v="3"/>
    <x v="0"/>
    <s v="Q2"/>
    <n v="54.437656400000002"/>
    <n v="54.634998320000001"/>
    <n v="55.939498899999997"/>
    <n v="53.754001619999997"/>
    <n v="55.735500340000002"/>
    <x v="64"/>
  </r>
  <r>
    <x v="65"/>
    <x v="2"/>
    <x v="3"/>
    <x v="0"/>
    <s v="Q2"/>
    <n v="58.945819849999999"/>
    <n v="59.159500119999997"/>
    <n v="59.537498470000003"/>
    <n v="56.25"/>
    <n v="56.650001529999997"/>
    <x v="65"/>
  </r>
  <r>
    <x v="66"/>
    <x v="3"/>
    <x v="3"/>
    <x v="0"/>
    <s v="Q2"/>
    <n v="58.914428710000003"/>
    <n v="59.127998349999999"/>
    <n v="61.039001460000001"/>
    <n v="58.862499239999998"/>
    <n v="60.850498199999997"/>
    <x v="66"/>
  </r>
  <r>
    <x v="67"/>
    <x v="4"/>
    <x v="3"/>
    <x v="0"/>
    <s v="Q2"/>
    <n v="60.13201523"/>
    <n v="60.349998470000003"/>
    <n v="60.744998930000001"/>
    <n v="59.197498320000001"/>
    <n v="60.15499878"/>
    <x v="67"/>
  </r>
  <r>
    <x v="68"/>
    <x v="6"/>
    <x v="3"/>
    <x v="0"/>
    <s v="Q2"/>
    <n v="60.110591890000002"/>
    <n v="60.328498840000002"/>
    <n v="61.099498750000002"/>
    <n v="59.620998380000003"/>
    <n v="60.909000399999996"/>
    <x v="68"/>
  </r>
  <r>
    <x v="69"/>
    <x v="7"/>
    <x v="3"/>
    <x v="0"/>
    <s v="Q2"/>
    <n v="60.301902769999998"/>
    <n v="60.520500179999999"/>
    <n v="60.726001740000001"/>
    <n v="59.116500850000001"/>
    <n v="60.075000760000002"/>
    <x v="69"/>
  </r>
  <r>
    <x v="70"/>
    <x v="8"/>
    <x v="3"/>
    <x v="0"/>
    <s v="Q2"/>
    <n v="63.033004759999997"/>
    <n v="63.26150131"/>
    <n v="63.787498470000003"/>
    <n v="61.426998140000002"/>
    <n v="61.998500819999997"/>
    <x v="70"/>
  </r>
  <r>
    <x v="71"/>
    <x v="9"/>
    <x v="3"/>
    <x v="0"/>
    <s v="Q2"/>
    <n v="62.637935640000002"/>
    <n v="62.865001679999999"/>
    <n v="63.755500789999999"/>
    <n v="61.700000760000002"/>
    <n v="62.325500490000003"/>
    <x v="71"/>
  </r>
  <r>
    <x v="72"/>
    <x v="10"/>
    <x v="3"/>
    <x v="0"/>
    <s v="Q2"/>
    <n v="62.644409179999997"/>
    <n v="62.871498109999997"/>
    <n v="63.667999270000003"/>
    <n v="61.909999849999998"/>
    <n v="63.356998439999998"/>
    <x v="72"/>
  </r>
  <r>
    <x v="73"/>
    <x v="26"/>
    <x v="3"/>
    <x v="0"/>
    <s v="Q2"/>
    <n v="63.71901321"/>
    <n v="63.950000760000002"/>
    <n v="64.5"/>
    <n v="63.299999239999998"/>
    <n v="64.084999080000003"/>
    <x v="73"/>
  </r>
  <r>
    <x v="74"/>
    <x v="11"/>
    <x v="3"/>
    <x v="0"/>
    <s v="Q2"/>
    <n v="62.829734799999997"/>
    <n v="63.057498930000001"/>
    <n v="63.840999600000004"/>
    <n v="62.821998600000001"/>
    <n v="63.494499210000001"/>
    <x v="74"/>
  </r>
  <r>
    <x v="75"/>
    <x v="12"/>
    <x v="3"/>
    <x v="0"/>
    <s v="Q2"/>
    <n v="60.38908386"/>
    <n v="60.608001710000003"/>
    <n v="62.5"/>
    <n v="60.25"/>
    <n v="62.135501859999998"/>
    <x v="75"/>
  </r>
  <r>
    <x v="76"/>
    <x v="13"/>
    <x v="3"/>
    <x v="0"/>
    <s v="Q2"/>
    <n v="62.693233489999997"/>
    <n v="62.920501710000003"/>
    <n v="63.993999479999999"/>
    <n v="61.86000061"/>
    <n v="62.055500029999997"/>
    <x v="76"/>
  </r>
  <r>
    <x v="77"/>
    <x v="14"/>
    <x v="3"/>
    <x v="0"/>
    <s v="Q2"/>
    <n v="63.328926090000003"/>
    <n v="63.558498380000003"/>
    <n v="64.40750122"/>
    <n v="63.0265007"/>
    <n v="63.286998750000002"/>
    <x v="77"/>
  </r>
  <r>
    <x v="78"/>
    <x v="15"/>
    <x v="3"/>
    <x v="0"/>
    <s v="Q2"/>
    <n v="63.599445340000003"/>
    <n v="63.83000183"/>
    <n v="63.885501859999998"/>
    <n v="62.200000760000002"/>
    <n v="62.75"/>
    <x v="78"/>
  </r>
  <r>
    <x v="79"/>
    <x v="16"/>
    <x v="3"/>
    <x v="0"/>
    <s v="Q2"/>
    <n v="63.313480380000001"/>
    <n v="63.542999270000003"/>
    <n v="64.70500183"/>
    <n v="63.252998349999999"/>
    <n v="64.599998470000003"/>
    <x v="79"/>
  </r>
  <r>
    <x v="80"/>
    <x v="17"/>
    <x v="3"/>
    <x v="0"/>
    <s v="Q2"/>
    <n v="61.406894680000001"/>
    <n v="61.629501339999997"/>
    <n v="64.237998959999999"/>
    <n v="61.519001009999997"/>
    <n v="64.160003660000001"/>
    <x v="80"/>
  </r>
  <r>
    <x v="81"/>
    <x v="18"/>
    <x v="3"/>
    <x v="0"/>
    <s v="Q2"/>
    <n v="66.866607669999993"/>
    <n v="67.109001160000005"/>
    <n v="68.007499690000003"/>
    <n v="66.336502080000002"/>
    <n v="67.25"/>
    <x v="81"/>
  </r>
  <r>
    <x v="82"/>
    <x v="30"/>
    <x v="4"/>
    <x v="0"/>
    <s v="Q2"/>
    <n v="67.091789250000005"/>
    <n v="67.334999080000003"/>
    <n v="67.5"/>
    <n v="66.074996949999999"/>
    <n v="66.568000789999999"/>
    <x v="82"/>
  </r>
  <r>
    <x v="83"/>
    <x v="20"/>
    <x v="4"/>
    <x v="0"/>
    <s v="Q2"/>
    <n v="65.628089900000006"/>
    <n v="65.865997309999997"/>
    <n v="67.571502690000003"/>
    <n v="65.483001709999996"/>
    <n v="66.204498290000004"/>
    <x v="83"/>
  </r>
  <r>
    <x v="84"/>
    <x v="21"/>
    <x v="4"/>
    <x v="0"/>
    <s v="Q2"/>
    <n v="65.906082150000003"/>
    <n v="66.144996640000002"/>
    <n v="66.223503109999996"/>
    <n v="64.800498959999999"/>
    <n v="65.406501770000006"/>
    <x v="84"/>
  </r>
  <r>
    <x v="85"/>
    <x v="1"/>
    <x v="4"/>
    <x v="0"/>
    <s v="Q2"/>
    <n v="67.207359310000001"/>
    <n v="67.450996399999994"/>
    <n v="68.550498959999999"/>
    <n v="66.751502990000006"/>
    <n v="66.875"/>
    <x v="85"/>
  </r>
  <r>
    <x v="86"/>
    <x v="2"/>
    <x v="4"/>
    <x v="0"/>
    <s v="Q2"/>
    <n v="67.028518680000005"/>
    <n v="67.271499629999994"/>
    <n v="68.434501650000001"/>
    <n v="67.256500239999994"/>
    <n v="67.900001529999997"/>
    <x v="86"/>
  </r>
  <r>
    <x v="87"/>
    <x v="3"/>
    <x v="4"/>
    <x v="0"/>
    <s v="Q2"/>
    <n v="68.216705320000003"/>
    <n v="68.463996890000004"/>
    <n v="68.800003050000001"/>
    <n v="67.626998900000004"/>
    <n v="68.065498349999999"/>
    <x v="87"/>
  </r>
  <r>
    <x v="88"/>
    <x v="22"/>
    <x v="4"/>
    <x v="0"/>
    <s v="Q2"/>
    <n v="68.966987610000004"/>
    <n v="69.217002870000002"/>
    <n v="69.832000730000004"/>
    <n v="68.60050201"/>
    <n v="69.091003420000007"/>
    <x v="88"/>
  </r>
  <r>
    <x v="89"/>
    <x v="23"/>
    <x v="4"/>
    <x v="0"/>
    <s v="Q2"/>
    <n v="69.926010129999995"/>
    <n v="70.17949677"/>
    <n v="70.776496890000004"/>
    <n v="68.775001529999997"/>
    <n v="68.839500430000001"/>
    <x v="89"/>
  </r>
  <r>
    <x v="90"/>
    <x v="6"/>
    <x v="4"/>
    <x v="0"/>
    <s v="Q2"/>
    <n v="68.510650630000001"/>
    <n v="68.759002690000003"/>
    <n v="70.716499330000005"/>
    <n v="68.72550201"/>
    <n v="70.411003109999996"/>
    <x v="90"/>
  </r>
  <r>
    <x v="91"/>
    <x v="7"/>
    <x v="4"/>
    <x v="0"/>
    <s v="Q2"/>
    <n v="67.17298126"/>
    <n v="67.416496280000004"/>
    <n v="69.266502380000006"/>
    <n v="66.400497439999995"/>
    <n v="68.807998659999996"/>
    <x v="91"/>
  </r>
  <r>
    <x v="92"/>
    <x v="8"/>
    <x v="4"/>
    <x v="0"/>
    <s v="Q2"/>
    <n v="67.59794617"/>
    <n v="67.843002319999997"/>
    <n v="67.868499760000006"/>
    <n v="66.165000919999997"/>
    <n v="66.676002499999996"/>
    <x v="92"/>
  </r>
  <r>
    <x v="93"/>
    <x v="24"/>
    <x v="4"/>
    <x v="0"/>
    <s v="Q2"/>
    <n v="68.405029299999995"/>
    <n v="68.652999879999996"/>
    <n v="68.728996280000004"/>
    <n v="66.949996949999999"/>
    <n v="67.41300201"/>
    <x v="93"/>
  </r>
  <r>
    <x v="94"/>
    <x v="25"/>
    <x v="4"/>
    <x v="0"/>
    <s v="Q2"/>
    <n v="69.008842470000005"/>
    <n v="69.259002690000003"/>
    <n v="69.638000489999996"/>
    <n v="67.709999080000003"/>
    <n v="68.079002380000006"/>
    <x v="94"/>
  </r>
  <r>
    <x v="95"/>
    <x v="26"/>
    <x v="4"/>
    <x v="0"/>
    <s v="Q2"/>
    <n v="68.471786499999993"/>
    <n v="68.72000122"/>
    <n v="69.624496460000003"/>
    <n v="68.688003539999997"/>
    <n v="69.274002080000002"/>
    <x v="95"/>
  </r>
  <r>
    <x v="96"/>
    <x v="11"/>
    <x v="4"/>
    <x v="0"/>
    <s v="Q2"/>
    <n v="70.203506469999994"/>
    <n v="70.458000179999999"/>
    <n v="70.601501459999994"/>
    <n v="69.371002200000007"/>
    <n v="69.458000179999999"/>
    <x v="96"/>
  </r>
  <r>
    <x v="97"/>
    <x v="12"/>
    <x v="4"/>
    <x v="0"/>
    <s v="Q2"/>
    <n v="70.083442689999998"/>
    <n v="70.337501529999997"/>
    <n v="70.822998049999995"/>
    <n v="69.719497680000003"/>
    <n v="70.549499510000004"/>
    <x v="97"/>
  </r>
  <r>
    <x v="98"/>
    <x v="28"/>
    <x v="4"/>
    <x v="0"/>
    <s v="Q2"/>
    <n v="70.406768799999995"/>
    <n v="70.662002560000005"/>
    <n v="70.849998470000003"/>
    <n v="69.79750061"/>
    <n v="70.194999690000003"/>
    <x v="98"/>
  </r>
  <r>
    <x v="99"/>
    <x v="15"/>
    <x v="4"/>
    <x v="0"/>
    <s v="Q2"/>
    <n v="70.811798100000004"/>
    <n v="71.068496699999997"/>
    <n v="72.255500789999999"/>
    <n v="70.97000122"/>
    <n v="72.097999569999999"/>
    <x v="99"/>
  </r>
  <r>
    <x v="100"/>
    <x v="16"/>
    <x v="4"/>
    <x v="0"/>
    <s v="Q2"/>
    <n v="70.757499690000003"/>
    <n v="71.013999940000005"/>
    <n v="71.26750183"/>
    <n v="69.730003359999998"/>
    <n v="71"/>
    <x v="100"/>
  </r>
  <r>
    <x v="101"/>
    <x v="17"/>
    <x v="4"/>
    <x v="0"/>
    <s v="Q2"/>
    <n v="70.655868530000006"/>
    <n v="70.912002560000005"/>
    <n v="72.222999569999999"/>
    <n v="69.954002380000006"/>
    <n v="70"/>
    <x v="101"/>
  </r>
  <r>
    <x v="102"/>
    <x v="30"/>
    <x v="5"/>
    <x v="0"/>
    <s v="Q2"/>
    <n v="71.417106630000006"/>
    <n v="71.676002499999996"/>
    <n v="71.836502080000002"/>
    <n v="70.799003600000006"/>
    <n v="71.021499629999994"/>
    <x v="102"/>
  </r>
  <r>
    <x v="103"/>
    <x v="29"/>
    <x v="5"/>
    <x v="0"/>
    <s v="Q2"/>
    <n v="71.484367370000001"/>
    <n v="71.743499760000006"/>
    <n v="72.079002380000006"/>
    <n v="71.113998409999994"/>
    <n v="71.285003660000001"/>
    <x v="103"/>
  </r>
  <r>
    <x v="104"/>
    <x v="0"/>
    <x v="5"/>
    <x v="0"/>
    <s v="Q2"/>
    <n v="71.855018619999996"/>
    <n v="72.115501399999999"/>
    <n v="72.150001529999997"/>
    <n v="71.080497739999998"/>
    <n v="71.75"/>
    <x v="104"/>
  </r>
  <r>
    <x v="105"/>
    <x v="20"/>
    <x v="5"/>
    <x v="0"/>
    <s v="Q2"/>
    <n v="71.702575679999995"/>
    <n v="71.962501529999997"/>
    <n v="72.450500489999996"/>
    <n v="71.581001279999995"/>
    <n v="72.135002139999997"/>
    <x v="105"/>
  </r>
  <r>
    <x v="106"/>
    <x v="21"/>
    <x v="5"/>
    <x v="0"/>
    <s v="Q2"/>
    <n v="70.459571839999995"/>
    <n v="70.714996339999999"/>
    <n v="72.066001889999995"/>
    <n v="70.300498959999999"/>
    <n v="71.838996890000004"/>
    <x v="106"/>
  </r>
  <r>
    <x v="107"/>
    <x v="3"/>
    <x v="5"/>
    <x v="0"/>
    <s v="Q2"/>
    <n v="71.740928650000001"/>
    <n v="72.000999449999995"/>
    <n v="72.315002440000001"/>
    <n v="70.380996699999997"/>
    <n v="70.781997680000003"/>
    <x v="107"/>
  </r>
  <r>
    <x v="108"/>
    <x v="4"/>
    <x v="5"/>
    <x v="0"/>
    <s v="Q2"/>
    <n v="72.140487669999999"/>
    <n v="72.402000430000001"/>
    <n v="72.449996949999999"/>
    <n v="71.223999019999994"/>
    <n v="71.314002990000006"/>
    <x v="108"/>
  </r>
  <r>
    <x v="109"/>
    <x v="5"/>
    <x v="5"/>
    <x v="0"/>
    <s v="Q2"/>
    <n v="72.341751099999996"/>
    <n v="72.603996280000004"/>
    <n v="73.38999939"/>
    <n v="72.117996219999995"/>
    <n v="72.262001040000001"/>
    <x v="109"/>
  </r>
  <r>
    <x v="110"/>
    <x v="22"/>
    <x v="5"/>
    <x v="0"/>
    <s v="Q2"/>
    <n v="72.970474240000001"/>
    <n v="73.23500061"/>
    <n v="73.638496399999994"/>
    <n v="72.718002319999997"/>
    <n v="73.075500489999996"/>
    <x v="110"/>
  </r>
  <r>
    <x v="111"/>
    <x v="23"/>
    <x v="5"/>
    <x v="0"/>
    <s v="Q2"/>
    <n v="69.841819760000007"/>
    <n v="70.09500122"/>
    <n v="72.58000183"/>
    <n v="69.920501709999996"/>
    <n v="72.051498409999994"/>
    <x v="111"/>
  </r>
  <r>
    <x v="112"/>
    <x v="8"/>
    <x v="5"/>
    <x v="0"/>
    <s v="Q2"/>
    <n v="70.390830989999998"/>
    <n v="70.646003719999996"/>
    <n v="71.72550201"/>
    <n v="69.290000919999997"/>
    <n v="71.292999269999996"/>
    <x v="112"/>
  </r>
  <r>
    <x v="113"/>
    <x v="9"/>
    <x v="5"/>
    <x v="0"/>
    <s v="Q2"/>
    <n v="70.780410770000003"/>
    <n v="71.037002560000005"/>
    <n v="71.25"/>
    <n v="69.36000061"/>
    <n v="69.474502560000005"/>
    <x v="113"/>
  </r>
  <r>
    <x v="114"/>
    <x v="10"/>
    <x v="5"/>
    <x v="0"/>
    <s v="Q2"/>
    <n v="72.062271120000005"/>
    <n v="72.323501590000006"/>
    <n v="72.858497619999994"/>
    <n v="71.449501040000001"/>
    <n v="72.449996949999999"/>
    <x v="114"/>
  </r>
  <r>
    <x v="115"/>
    <x v="24"/>
    <x v="5"/>
    <x v="0"/>
    <s v="Q2"/>
    <n v="72.364669800000001"/>
    <n v="72.626998900000004"/>
    <n v="73.11000061"/>
    <n v="71.756500239999994"/>
    <n v="72.647003170000005"/>
    <x v="115"/>
  </r>
  <r>
    <x v="116"/>
    <x v="25"/>
    <x v="5"/>
    <x v="0"/>
    <s v="Q2"/>
    <n v="71.446998600000001"/>
    <n v="71.706001279999995"/>
    <n v="72.648498540000006"/>
    <n v="71.311996460000003"/>
    <n v="72.492500309999997"/>
    <x v="116"/>
  </r>
  <r>
    <x v="117"/>
    <x v="12"/>
    <x v="5"/>
    <x v="0"/>
    <s v="Q2"/>
    <n v="70.974708559999996"/>
    <n v="71.232002260000002"/>
    <n v="72.224998470000003"/>
    <n v="70.949996949999999"/>
    <n v="72"/>
    <x v="117"/>
  </r>
  <r>
    <x v="118"/>
    <x v="13"/>
    <x v="5"/>
    <x v="0"/>
    <s v="Q2"/>
    <n v="72.271011349999995"/>
    <n v="72.532997129999998"/>
    <n v="72.54750061"/>
    <n v="70.959503170000005"/>
    <n v="71.250503539999997"/>
    <x v="118"/>
  </r>
  <r>
    <x v="119"/>
    <x v="14"/>
    <x v="5"/>
    <x v="0"/>
    <s v="Q2"/>
    <n v="72.934600829999994"/>
    <n v="73.198997500000004"/>
    <n v="73.760002139999997"/>
    <n v="72.25"/>
    <n v="72.599998470000003"/>
    <x v="119"/>
  </r>
  <r>
    <x v="120"/>
    <x v="27"/>
    <x v="5"/>
    <x v="0"/>
    <s v="Q2"/>
    <n v="71.376258849999999"/>
    <n v="71.635002139999997"/>
    <n v="73.78949738"/>
    <n v="71.5"/>
    <n v="73.164001459999994"/>
    <x v="120"/>
  </r>
  <r>
    <x v="121"/>
    <x v="28"/>
    <x v="5"/>
    <x v="0"/>
    <s v="Q2"/>
    <n v="71.794738769999995"/>
    <n v="72.055000309999997"/>
    <n v="72.115997309999997"/>
    <n v="70.97699738"/>
    <n v="71.560997009999994"/>
    <x v="121"/>
  </r>
  <r>
    <x v="122"/>
    <x v="17"/>
    <x v="5"/>
    <x v="0"/>
    <s v="Q2"/>
    <n v="67.880928040000001"/>
    <n v="68.126998900000004"/>
    <n v="71.850997919999998"/>
    <n v="67.75"/>
    <n v="71.631500239999994"/>
    <x v="122"/>
  </r>
  <r>
    <x v="123"/>
    <x v="18"/>
    <x v="5"/>
    <x v="0"/>
    <s v="Q2"/>
    <n v="69.606170649999996"/>
    <n v="69.858497619999994"/>
    <n v="69.900001529999997"/>
    <n v="67.582496640000002"/>
    <n v="68.016998290000004"/>
    <x v="123"/>
  </r>
  <r>
    <x v="124"/>
    <x v="30"/>
    <x v="6"/>
    <x v="0"/>
    <s v="Q3"/>
    <n v="70.646400450000002"/>
    <n v="70.902496339999999"/>
    <n v="71.199996949999999"/>
    <n v="69.346496579999993"/>
    <n v="69.844001770000006"/>
    <x v="124"/>
  </r>
  <r>
    <x v="125"/>
    <x v="29"/>
    <x v="6"/>
    <x v="0"/>
    <s v="Q3"/>
    <n v="71.839576719999997"/>
    <n v="72.099998470000003"/>
    <n v="72.424003600000006"/>
    <n v="70.708999629999994"/>
    <n v="70.958503719999996"/>
    <x v="125"/>
  </r>
  <r>
    <x v="126"/>
    <x v="1"/>
    <x v="6"/>
    <x v="0"/>
    <s v="Q3"/>
    <n v="73.231033330000002"/>
    <n v="73.496498110000005"/>
    <n v="74.426002499999996"/>
    <n v="72.553497309999997"/>
    <n v="72.592002870000002"/>
    <x v="126"/>
  </r>
  <r>
    <x v="127"/>
    <x v="2"/>
    <x v="6"/>
    <x v="0"/>
    <s v="Q3"/>
    <n v="74.711662290000007"/>
    <n v="74.98249817"/>
    <n v="75.5"/>
    <n v="73.848999019999994"/>
    <n v="74.40750122"/>
    <x v="127"/>
  </r>
  <r>
    <x v="128"/>
    <x v="3"/>
    <x v="6"/>
    <x v="0"/>
    <s v="Q3"/>
    <n v="74.226921079999997"/>
    <n v="74.496002200000007"/>
    <n v="76.066001889999995"/>
    <n v="74.48500061"/>
    <n v="74.806503300000003"/>
    <x v="128"/>
  </r>
  <r>
    <x v="129"/>
    <x v="4"/>
    <x v="6"/>
    <x v="0"/>
    <s v="Q3"/>
    <n v="74.908454899999995"/>
    <n v="75.180000309999997"/>
    <n v="75.558502200000007"/>
    <n v="74.614997860000003"/>
    <n v="75.040000919999997"/>
    <x v="129"/>
  </r>
  <r>
    <x v="130"/>
    <x v="5"/>
    <x v="6"/>
    <x v="0"/>
    <s v="Q3"/>
    <n v="75.658729550000004"/>
    <n v="75.932998659999996"/>
    <n v="76.457000730000004"/>
    <n v="74.779502870000002"/>
    <n v="75.496498110000005"/>
    <x v="130"/>
  </r>
  <r>
    <x v="131"/>
    <x v="6"/>
    <x v="6"/>
    <x v="0"/>
    <s v="Q3"/>
    <n v="76.672554020000007"/>
    <n v="76.950500489999996"/>
    <n v="77.067001340000004"/>
    <n v="75.036003109999996"/>
    <n v="75.662498470000003"/>
    <x v="131"/>
  </r>
  <r>
    <x v="132"/>
    <x v="7"/>
    <x v="6"/>
    <x v="0"/>
    <s v="Q3"/>
    <n v="75.338401790000006"/>
    <n v="75.611503600000006"/>
    <n v="78.818000789999999"/>
    <n v="75.328002929999997"/>
    <n v="77.497001650000001"/>
    <x v="132"/>
  </r>
  <r>
    <x v="133"/>
    <x v="8"/>
    <x v="6"/>
    <x v="0"/>
    <s v="Q3"/>
    <n v="75.768333440000006"/>
    <n v="76.042999269999996"/>
    <n v="76.13999939"/>
    <n v="74.296501160000005"/>
    <n v="74.639503480000002"/>
    <x v="133"/>
  </r>
  <r>
    <x v="134"/>
    <x v="9"/>
    <x v="6"/>
    <x v="0"/>
    <s v="Q3"/>
    <n v="75.570053099999996"/>
    <n v="75.844001770000006"/>
    <n v="76.816497799999993"/>
    <n v="74.891502380000006"/>
    <n v="76.161499019999994"/>
    <x v="134"/>
  </r>
  <r>
    <x v="135"/>
    <x v="10"/>
    <x v="6"/>
    <x v="0"/>
    <s v="Q3"/>
    <n v="75.472412109999993"/>
    <n v="75.746002200000007"/>
    <n v="75.795501709999996"/>
    <n v="74.413497919999998"/>
    <n v="75.074996949999999"/>
    <x v="135"/>
  </r>
  <r>
    <x v="136"/>
    <x v="26"/>
    <x v="6"/>
    <x v="0"/>
    <s v="Q3"/>
    <n v="75.568557740000003"/>
    <n v="75.84249878"/>
    <n v="76.171501160000005"/>
    <n v="74.90499878"/>
    <n v="75.845497129999998"/>
    <x v="136"/>
  </r>
  <r>
    <x v="137"/>
    <x v="11"/>
    <x v="6"/>
    <x v="0"/>
    <s v="Q3"/>
    <n v="77.909576419999993"/>
    <n v="78.192001340000004"/>
    <n v="78.450500489999996"/>
    <n v="75.135002139999997"/>
    <n v="75.75"/>
    <x v="137"/>
  </r>
  <r>
    <x v="138"/>
    <x v="12"/>
    <x v="6"/>
    <x v="0"/>
    <s v="Q3"/>
    <n v="77.51499939"/>
    <n v="77.795997619999994"/>
    <n v="79.352500919999997"/>
    <n v="77.630996699999997"/>
    <n v="79.251502990000006"/>
    <x v="138"/>
  </r>
  <r>
    <x v="139"/>
    <x v="13"/>
    <x v="6"/>
    <x v="0"/>
    <s v="Q3"/>
    <n v="77.959884639999999"/>
    <n v="78.242500309999997"/>
    <n v="78.348999019999994"/>
    <n v="77.161499019999994"/>
    <n v="77.785499569999999"/>
    <x v="139"/>
  </r>
  <r>
    <x v="140"/>
    <x v="14"/>
    <x v="6"/>
    <x v="0"/>
    <s v="Q3"/>
    <n v="75.563575740000005"/>
    <n v="75.837501529999997"/>
    <n v="78.51750183"/>
    <n v="75.42949677"/>
    <n v="78.296501160000005"/>
    <x v="140"/>
  </r>
  <r>
    <x v="141"/>
    <x v="15"/>
    <x v="6"/>
    <x v="0"/>
    <s v="Q3"/>
    <n v="75.138122559999999"/>
    <n v="75.410499569999999"/>
    <n v="75.771499629999994"/>
    <n v="74.379501340000004"/>
    <n v="74.959503170000005"/>
    <x v="141"/>
  </r>
  <r>
    <x v="142"/>
    <x v="16"/>
    <x v="6"/>
    <x v="0"/>
    <s v="Q3"/>
    <n v="76.195281980000004"/>
    <n v="76.471496579999993"/>
    <n v="76.877998349999999"/>
    <n v="75.616500849999994"/>
    <n v="75.66300201"/>
    <x v="142"/>
  </r>
  <r>
    <x v="143"/>
    <x v="17"/>
    <x v="6"/>
    <x v="0"/>
    <s v="Q3"/>
    <n v="74.910942079999998"/>
    <n v="75.182502749999998"/>
    <n v="76.300498959999999"/>
    <n v="75.026000980000006"/>
    <n v="76.25"/>
    <x v="143"/>
  </r>
  <r>
    <x v="144"/>
    <x v="18"/>
    <x v="6"/>
    <x v="0"/>
    <s v="Q3"/>
    <n v="75.900352479999995"/>
    <n v="76.175498959999999"/>
    <n v="76.666496280000004"/>
    <n v="75.150497439999995"/>
    <n v="75.25"/>
    <x v="144"/>
  </r>
  <r>
    <x v="145"/>
    <x v="19"/>
    <x v="6"/>
    <x v="0"/>
    <s v="Q3"/>
    <n v="76.640678410000007"/>
    <n v="76.918502810000007"/>
    <n v="77.044502260000002"/>
    <n v="74.758499150000006"/>
    <n v="74.898498540000006"/>
    <x v="145"/>
  </r>
  <r>
    <x v="146"/>
    <x v="0"/>
    <x v="7"/>
    <x v="0"/>
    <s v="Q3"/>
    <n v="74.128776549999998"/>
    <n v="74.397499080000003"/>
    <n v="75.250999449999995"/>
    <n v="72.699996949999999"/>
    <n v="74.852500919999997"/>
    <x v="146"/>
  </r>
  <r>
    <x v="147"/>
    <x v="20"/>
    <x v="7"/>
    <x v="0"/>
    <s v="Q3"/>
    <n v="73.870216369999994"/>
    <n v="74.138000489999996"/>
    <n v="74.886497500000004"/>
    <n v="73.585998540000006"/>
    <n v="74.550003050000001"/>
    <x v="147"/>
  </r>
  <r>
    <x v="148"/>
    <x v="21"/>
    <x v="7"/>
    <x v="0"/>
    <s v="Q3"/>
    <n v="73.398925779999999"/>
    <n v="73.665000919999997"/>
    <n v="74.655502319999997"/>
    <n v="73.201499940000005"/>
    <n v="74.33550262"/>
    <x v="148"/>
  </r>
  <r>
    <x v="149"/>
    <x v="1"/>
    <x v="7"/>
    <x v="0"/>
    <s v="Q3"/>
    <n v="73.687370299999998"/>
    <n v="73.954498290000004"/>
    <n v="74.5"/>
    <n v="73.560997009999994"/>
    <n v="73.841003420000007"/>
    <x v="149"/>
  </r>
  <r>
    <x v="150"/>
    <x v="2"/>
    <x v="7"/>
    <x v="0"/>
    <s v="Q3"/>
    <n v="74.975700380000006"/>
    <n v="75.247497559999999"/>
    <n v="75.313499449999995"/>
    <n v="73.59500122"/>
    <n v="73.807502749999998"/>
    <x v="150"/>
  </r>
  <r>
    <x v="151"/>
    <x v="5"/>
    <x v="7"/>
    <x v="0"/>
    <s v="Q3"/>
    <n v="74.647903439999993"/>
    <n v="74.918502810000007"/>
    <n v="76.004501340000004"/>
    <n v="74.313499449999995"/>
    <n v="75.452003480000002"/>
    <x v="151"/>
  </r>
  <r>
    <x v="152"/>
    <x v="22"/>
    <x v="7"/>
    <x v="0"/>
    <s v="Q3"/>
    <n v="74.570671079999997"/>
    <n v="74.841003420000007"/>
    <n v="75.35749817"/>
    <n v="73.874496460000003"/>
    <n v="74.540000919999997"/>
    <x v="152"/>
  </r>
  <r>
    <x v="153"/>
    <x v="23"/>
    <x v="7"/>
    <x v="0"/>
    <s v="Q3"/>
    <n v="73.759613040000005"/>
    <n v="74.027000430000001"/>
    <n v="75.522003170000005"/>
    <n v="73.909500120000004"/>
    <n v="74.699996949999999"/>
    <x v="153"/>
  </r>
  <r>
    <x v="154"/>
    <x v="6"/>
    <x v="7"/>
    <x v="0"/>
    <s v="Q3"/>
    <n v="75.089790339999993"/>
    <n v="75.361999510000004"/>
    <n v="75.583503719999996"/>
    <n v="74.25"/>
    <n v="74.356002810000007"/>
    <x v="154"/>
  </r>
  <r>
    <x v="155"/>
    <x v="7"/>
    <x v="7"/>
    <x v="0"/>
    <s v="Q3"/>
    <n v="75.55859375"/>
    <n v="75.832496640000002"/>
    <n v="76.848503109999996"/>
    <n v="75.410499569999999"/>
    <n v="75.410499569999999"/>
    <x v="155"/>
  </r>
  <r>
    <x v="156"/>
    <x v="10"/>
    <x v="7"/>
    <x v="0"/>
    <s v="Q3"/>
    <n v="74.959770199999994"/>
    <n v="75.231498720000005"/>
    <n v="75.989501950000005"/>
    <n v="74.949996949999999"/>
    <n v="75.680496219999995"/>
    <x v="156"/>
  </r>
  <r>
    <x v="157"/>
    <x v="24"/>
    <x v="7"/>
    <x v="0"/>
    <s v="Q3"/>
    <n v="75.538169859999996"/>
    <n v="75.811996460000003"/>
    <n v="76.189002990000006"/>
    <n v="75.25"/>
    <n v="75.798500059999995"/>
    <x v="157"/>
  </r>
  <r>
    <x v="158"/>
    <x v="25"/>
    <x v="7"/>
    <x v="0"/>
    <s v="Q3"/>
    <n v="77.508026119999997"/>
    <n v="77.789001459999994"/>
    <n v="77.868499760000006"/>
    <n v="76.083503719999996"/>
    <n v="76.305999760000006"/>
    <x v="158"/>
  </r>
  <r>
    <x v="159"/>
    <x v="26"/>
    <x v="7"/>
    <x v="0"/>
    <s v="Q3"/>
    <n v="76.951545719999999"/>
    <n v="77.230499269999996"/>
    <n v="78.443000789999999"/>
    <n v="77"/>
    <n v="77.624496460000003"/>
    <x v="159"/>
  </r>
  <r>
    <x v="160"/>
    <x v="11"/>
    <x v="7"/>
    <x v="0"/>
    <s v="Q3"/>
    <n v="78.5278244"/>
    <n v="78.8125"/>
    <n v="79.008499150000006"/>
    <n v="76.722999569999999"/>
    <n v="76.998497009999994"/>
    <x v="160"/>
  </r>
  <r>
    <x v="161"/>
    <x v="14"/>
    <x v="7"/>
    <x v="0"/>
    <s v="Q3"/>
    <n v="78.493957519999995"/>
    <n v="78.778503420000007"/>
    <n v="79.594001770000006"/>
    <n v="78.115501399999999"/>
    <n v="78.589996339999999"/>
    <x v="161"/>
  </r>
  <r>
    <x v="162"/>
    <x v="27"/>
    <x v="7"/>
    <x v="0"/>
    <s v="Q3"/>
    <n v="78.971221920000005"/>
    <n v="79.257499690000003"/>
    <n v="80.439002990000006"/>
    <n v="78.751998900000004"/>
    <n v="79.623497009999994"/>
    <x v="162"/>
  </r>
  <r>
    <x v="163"/>
    <x v="28"/>
    <x v="7"/>
    <x v="0"/>
    <s v="Q3"/>
    <n v="80.002487180000003"/>
    <n v="80.292503359999998"/>
    <n v="80.444000239999994"/>
    <n v="78.893997189999993"/>
    <n v="79.004997250000002"/>
    <x v="163"/>
  </r>
  <r>
    <x v="164"/>
    <x v="15"/>
    <x v="7"/>
    <x v="0"/>
    <s v="Q3"/>
    <n v="81.909561159999996"/>
    <n v="82.206497189999993"/>
    <n v="82.639503480000002"/>
    <n v="80.049003600000006"/>
    <n v="80.315002440000001"/>
    <x v="164"/>
  </r>
  <r>
    <x v="165"/>
    <x v="16"/>
    <x v="7"/>
    <x v="0"/>
    <s v="Q3"/>
    <n v="81.131889340000001"/>
    <n v="81.426002499999996"/>
    <n v="82.39949799"/>
    <n v="80.940498349999999"/>
    <n v="82.330497739999998"/>
    <x v="165"/>
  </r>
  <r>
    <x v="166"/>
    <x v="19"/>
    <x v="7"/>
    <x v="0"/>
    <s v="Q3"/>
    <n v="81.675415040000004"/>
    <n v="81.971496579999993"/>
    <n v="82.067497250000002"/>
    <n v="81.280502319999997"/>
    <n v="81.473503109999996"/>
    <x v="166"/>
  </r>
  <r>
    <x v="167"/>
    <x v="30"/>
    <x v="8"/>
    <x v="0"/>
    <s v="Q3"/>
    <n v="81.182212829999997"/>
    <n v="81.476501459999994"/>
    <n v="82.224998470000003"/>
    <n v="81.266502380000006"/>
    <n v="82.178497309999997"/>
    <x v="167"/>
  </r>
  <r>
    <x v="168"/>
    <x v="29"/>
    <x v="8"/>
    <x v="0"/>
    <s v="Q3"/>
    <n v="82.455085749999995"/>
    <n v="82.753997799999993"/>
    <n v="82.960998540000006"/>
    <n v="81.476501459999994"/>
    <n v="81.608001709999996"/>
    <x v="168"/>
  </r>
  <r>
    <x v="169"/>
    <x v="0"/>
    <x v="8"/>
    <x v="0"/>
    <s v="Q3"/>
    <n v="85.559341430000003"/>
    <n v="85.869499210000001"/>
    <n v="86.305000309999997"/>
    <n v="83.009498600000001"/>
    <n v="83.400497439999995"/>
    <x v="169"/>
  </r>
  <r>
    <x v="170"/>
    <x v="20"/>
    <x v="8"/>
    <x v="0"/>
    <s v="Q3"/>
    <n v="81.181213380000003"/>
    <n v="81.47550201"/>
    <n v="85"/>
    <n v="80.385498049999995"/>
    <n v="84.975997919999998"/>
    <x v="170"/>
  </r>
  <r>
    <x v="171"/>
    <x v="3"/>
    <x v="8"/>
    <x v="0"/>
    <s v="Q3"/>
    <n v="78.774932860000007"/>
    <n v="79.060501099999996"/>
    <n v="81.749496460000003"/>
    <n v="76.898498540000006"/>
    <n v="80.449996949999999"/>
    <x v="171"/>
  </r>
  <r>
    <x v="172"/>
    <x v="4"/>
    <x v="8"/>
    <x v="0"/>
    <s v="Q3"/>
    <n v="75.904838560000002"/>
    <n v="76.180000309999997"/>
    <n v="77.777496339999999"/>
    <n v="75.824996949999999"/>
    <n v="76.25"/>
    <x v="172"/>
  </r>
  <r>
    <x v="173"/>
    <x v="5"/>
    <x v="8"/>
    <x v="0"/>
    <s v="Q3"/>
    <n v="77.082077029999994"/>
    <n v="77.361503600000006"/>
    <n v="77.935997009999994"/>
    <n v="76.258499150000006"/>
    <n v="77.444999690000003"/>
    <x v="173"/>
  </r>
  <r>
    <x v="174"/>
    <x v="22"/>
    <x v="8"/>
    <x v="0"/>
    <s v="Q3"/>
    <n v="76.026893619999996"/>
    <n v="76.302497860000003"/>
    <n v="78.682998659999996"/>
    <n v="76"/>
    <n v="77.509002690000003"/>
    <x v="174"/>
  </r>
  <r>
    <x v="175"/>
    <x v="7"/>
    <x v="8"/>
    <x v="0"/>
    <s v="Q3"/>
    <n v="75.514251709999996"/>
    <n v="75.78800201"/>
    <n v="76.934997559999999"/>
    <n v="74.651000980000006"/>
    <n v="76.40750122"/>
    <x v="175"/>
  </r>
  <r>
    <x v="176"/>
    <x v="8"/>
    <x v="8"/>
    <x v="0"/>
    <s v="Q3"/>
    <n v="75.168998720000005"/>
    <n v="75.441497799999993"/>
    <n v="77.849998470000003"/>
    <n v="75.255500789999999"/>
    <n v="76.582496640000002"/>
    <x v="176"/>
  </r>
  <r>
    <x v="177"/>
    <x v="9"/>
    <x v="8"/>
    <x v="0"/>
    <s v="Q3"/>
    <n v="76.478752139999997"/>
    <n v="76.755996699999997"/>
    <n v="77.549499510000004"/>
    <n v="76.105003359999998"/>
    <n v="76.394500730000004"/>
    <x v="177"/>
  </r>
  <r>
    <x v="178"/>
    <x v="10"/>
    <x v="8"/>
    <x v="0"/>
    <s v="Q3"/>
    <n v="75.331420899999998"/>
    <n v="75.604499820000001"/>
    <n v="77.718498229999994"/>
    <n v="75.579498290000004"/>
    <n v="77.124000550000005"/>
    <x v="178"/>
  </r>
  <r>
    <x v="179"/>
    <x v="24"/>
    <x v="8"/>
    <x v="0"/>
    <s v="Q3"/>
    <n v="74.083442689999998"/>
    <n v="74.35199738"/>
    <n v="74.932998659999996"/>
    <n v="73.123001099999996"/>
    <n v="74.290496829999995"/>
    <x v="179"/>
  </r>
  <r>
    <x v="180"/>
    <x v="11"/>
    <x v="8"/>
    <x v="0"/>
    <s v="Q3"/>
    <n v="72.292427059999994"/>
    <n v="72.55449677"/>
    <n v="74.760002139999997"/>
    <n v="71.581001279999995"/>
    <n v="74.415000919999997"/>
    <x v="180"/>
  </r>
  <r>
    <x v="181"/>
    <x v="12"/>
    <x v="8"/>
    <x v="0"/>
    <s v="Q3"/>
    <n v="71.248725890000003"/>
    <n v="71.507003780000005"/>
    <n v="72.002998349999999"/>
    <n v="70.134002690000003"/>
    <n v="71.581001279999995"/>
    <x v="181"/>
  </r>
  <r>
    <x v="182"/>
    <x v="13"/>
    <x v="8"/>
    <x v="0"/>
    <s v="Q3"/>
    <n v="72.727355959999997"/>
    <n v="72.990997309999997"/>
    <n v="73.198501590000006"/>
    <n v="71.474998470000003"/>
    <n v="72.515998839999995"/>
    <x v="182"/>
  </r>
  <r>
    <x v="183"/>
    <x v="14"/>
    <x v="8"/>
    <x v="0"/>
    <s v="Q3"/>
    <n v="70.214965820000003"/>
    <n v="70.469497680000003"/>
    <n v="72.653999330000005"/>
    <n v="70.134002690000003"/>
    <n v="72.604499820000001"/>
    <x v="183"/>
  </r>
  <r>
    <x v="184"/>
    <x v="27"/>
    <x v="8"/>
    <x v="0"/>
    <s v="Q3"/>
    <n v="70.886032099999994"/>
    <n v="71.142997739999998"/>
    <n v="71.89949799"/>
    <n v="70.10749817"/>
    <n v="70.134002690000003"/>
    <x v="184"/>
  </r>
  <r>
    <x v="185"/>
    <x v="16"/>
    <x v="8"/>
    <x v="0"/>
    <s v="Q3"/>
    <n v="71.693107600000005"/>
    <n v="71.953002929999997"/>
    <n v="72.296997070000003"/>
    <n v="70.384002690000003"/>
    <n v="71.252502440000001"/>
    <x v="185"/>
  </r>
  <r>
    <x v="186"/>
    <x v="17"/>
    <x v="8"/>
    <x v="0"/>
    <s v="Q3"/>
    <n v="72.669563289999999"/>
    <n v="72.932998659999996"/>
    <n v="73.64949799"/>
    <n v="72.314002990000006"/>
    <n v="73.599502560000005"/>
    <x v="186"/>
  </r>
  <r>
    <x v="187"/>
    <x v="18"/>
    <x v="8"/>
    <x v="0"/>
    <s v="Q3"/>
    <n v="73.036239620000003"/>
    <n v="73.301002499999996"/>
    <n v="73.599998470000003"/>
    <n v="72.699996949999999"/>
    <n v="73.19550323"/>
    <x v="187"/>
  </r>
  <r>
    <x v="188"/>
    <x v="30"/>
    <x v="9"/>
    <x v="0"/>
    <s v="Q4"/>
    <n v="73.015312190000003"/>
    <n v="73.27999878"/>
    <n v="74.309997559999999"/>
    <n v="72.78800201"/>
    <n v="73.046997070000003"/>
    <x v="188"/>
  </r>
  <r>
    <x v="189"/>
    <x v="29"/>
    <x v="9"/>
    <x v="0"/>
    <s v="Q4"/>
    <n v="74.126281739999996"/>
    <n v="74.394996640000002"/>
    <n v="74.753501889999995"/>
    <n v="73.839996339999999"/>
    <n v="74.182998659999996"/>
    <x v="189"/>
  </r>
  <r>
    <x v="190"/>
    <x v="21"/>
    <x v="9"/>
    <x v="0"/>
    <s v="Q4"/>
    <n v="72.517120360000007"/>
    <n v="72.77999878"/>
    <n v="73.951499940000005"/>
    <n v="72.367500309999997"/>
    <n v="72.981498720000005"/>
    <x v="190"/>
  </r>
  <r>
    <x v="191"/>
    <x v="1"/>
    <x v="9"/>
    <x v="0"/>
    <s v="Q4"/>
    <n v="73.873703000000006"/>
    <n v="74.141502380000006"/>
    <n v="74.23500061"/>
    <n v="73.004501340000004"/>
    <n v="73.132499690000003"/>
    <x v="191"/>
  </r>
  <r>
    <x v="192"/>
    <x v="2"/>
    <x v="9"/>
    <x v="0"/>
    <s v="Q4"/>
    <n v="72.288955689999995"/>
    <n v="72.551002499999996"/>
    <n v="74.225997919999998"/>
    <n v="72.250503539999997"/>
    <n v="73.775001529999997"/>
    <x v="192"/>
  </r>
  <r>
    <x v="193"/>
    <x v="3"/>
    <x v="9"/>
    <x v="0"/>
    <s v="Q4"/>
    <n v="72.693481449999993"/>
    <n v="72.957000730000004"/>
    <n v="73.448501590000006"/>
    <n v="71.661499019999994"/>
    <n v="72.965499879999996"/>
    <x v="193"/>
  </r>
  <r>
    <x v="194"/>
    <x v="4"/>
    <x v="9"/>
    <x v="0"/>
    <s v="Q4"/>
    <n v="73.903602599999999"/>
    <n v="74.171501160000005"/>
    <n v="74.401496890000004"/>
    <n v="73.272499080000003"/>
    <n v="73.272499080000003"/>
    <x v="8"/>
  </r>
  <r>
    <x v="195"/>
    <x v="23"/>
    <x v="9"/>
    <x v="0"/>
    <s v="Q4"/>
    <n v="75.24971008"/>
    <n v="75.522499080000003"/>
    <n v="75.59249878"/>
    <n v="74.349998470000003"/>
    <n v="74.642997739999998"/>
    <x v="194"/>
  </r>
  <r>
    <x v="196"/>
    <x v="6"/>
    <x v="9"/>
    <x v="0"/>
    <s v="Q4"/>
    <n v="77.946929929999996"/>
    <n v="78.229499820000001"/>
    <n v="79.420997619999994"/>
    <n v="76.464996339999999"/>
    <n v="76.900001529999997"/>
    <x v="195"/>
  </r>
  <r>
    <x v="197"/>
    <x v="7"/>
    <x v="9"/>
    <x v="0"/>
    <s v="Q4"/>
    <n v="78.070487979999996"/>
    <n v="78.353500370000006"/>
    <n v="79.25800323"/>
    <n v="77.931503300000003"/>
    <n v="78.85050201"/>
    <x v="196"/>
  </r>
  <r>
    <x v="198"/>
    <x v="8"/>
    <x v="9"/>
    <x v="0"/>
    <s v="Q4"/>
    <n v="77.889640810000003"/>
    <n v="78.171997070000003"/>
    <n v="79.192497250000002"/>
    <n v="77.29499817"/>
    <n v="78.730003359999998"/>
    <x v="197"/>
  </r>
  <r>
    <x v="199"/>
    <x v="9"/>
    <x v="9"/>
    <x v="0"/>
    <s v="Q4"/>
    <n v="77.492584230000006"/>
    <n v="77.773498540000006"/>
    <n v="78.569999690000003"/>
    <n v="77.056503300000003"/>
    <n v="77.224998470000003"/>
    <x v="198"/>
  </r>
  <r>
    <x v="200"/>
    <x v="25"/>
    <x v="9"/>
    <x v="0"/>
    <s v="Q4"/>
    <n v="78.101875309999997"/>
    <n v="78.385002139999997"/>
    <n v="78.885498049999995"/>
    <n v="77.88300323"/>
    <n v="78.091499330000005"/>
    <x v="199"/>
  </r>
  <r>
    <x v="201"/>
    <x v="26"/>
    <x v="9"/>
    <x v="0"/>
    <s v="Q4"/>
    <n v="76.221191410000003"/>
    <n v="76.497497559999999"/>
    <n v="79.196502690000003"/>
    <n v="76.146003719999996"/>
    <n v="78.796501160000005"/>
    <x v="200"/>
  </r>
  <r>
    <x v="202"/>
    <x v="11"/>
    <x v="9"/>
    <x v="0"/>
    <s v="Q4"/>
    <n v="77.273880000000005"/>
    <n v="77.554000849999994"/>
    <n v="78.692001340000004"/>
    <n v="76.025001529999997"/>
    <n v="76.155502319999997"/>
    <x v="201"/>
  </r>
  <r>
    <x v="203"/>
    <x v="12"/>
    <x v="9"/>
    <x v="0"/>
    <s v="Q4"/>
    <n v="79.013069150000007"/>
    <n v="79.299499510000004"/>
    <n v="80.757003780000005"/>
    <n v="78.357002260000002"/>
    <n v="78.492500309999997"/>
    <x v="202"/>
  </r>
  <r>
    <x v="204"/>
    <x v="13"/>
    <x v="9"/>
    <x v="0"/>
    <s v="Q4"/>
    <n v="80.042839049999998"/>
    <n v="80.333000179999999"/>
    <n v="80.670997619999994"/>
    <n v="78.874000550000005"/>
    <n v="79.25"/>
    <x v="203"/>
  </r>
  <r>
    <x v="205"/>
    <x v="28"/>
    <x v="9"/>
    <x v="0"/>
    <s v="Q4"/>
    <n v="81.354087829999997"/>
    <n v="81.649002080000002"/>
    <n v="81.706001279999995"/>
    <n v="80.595497129999998"/>
    <n v="80.752502440000001"/>
    <x v="204"/>
  </r>
  <r>
    <x v="206"/>
    <x v="15"/>
    <x v="9"/>
    <x v="0"/>
    <s v="Q4"/>
    <n v="78.928382869999993"/>
    <n v="79.214500430000001"/>
    <n v="81.478996280000004"/>
    <n v="78.388999940000005"/>
    <n v="80.75"/>
    <x v="205"/>
  </r>
  <r>
    <x v="207"/>
    <x v="16"/>
    <x v="9"/>
    <x v="0"/>
    <s v="Q4"/>
    <n v="79.655242920000006"/>
    <n v="79.944000239999994"/>
    <n v="80.099998470000003"/>
    <n v="78.849502560000005"/>
    <n v="79.446502690000003"/>
    <x v="206"/>
  </r>
  <r>
    <x v="208"/>
    <x v="17"/>
    <x v="9"/>
    <x v="0"/>
    <s v="Q4"/>
    <n v="75.267150880000003"/>
    <n v="75.540000919999997"/>
    <n v="77.690498349999999"/>
    <n v="75.424003600000006"/>
    <n v="77.500503539999997"/>
    <x v="207"/>
  </r>
  <r>
    <x v="209"/>
    <x v="18"/>
    <x v="9"/>
    <x v="0"/>
    <s v="Q4"/>
    <n v="77.562828060000001"/>
    <n v="77.844001770000006"/>
    <n v="79.436996460000003"/>
    <n v="75.82749939"/>
    <n v="75.850997919999998"/>
    <x v="208"/>
  </r>
  <r>
    <x v="210"/>
    <x v="29"/>
    <x v="10"/>
    <x v="0"/>
    <s v="Q4"/>
    <n v="80.513626099999996"/>
    <n v="80.805496219999995"/>
    <n v="84.066001889999995"/>
    <n v="80.078498839999995"/>
    <n v="83.372001650000001"/>
    <x v="209"/>
  </r>
  <r>
    <x v="211"/>
    <x v="0"/>
    <x v="10"/>
    <x v="0"/>
    <s v="Q4"/>
    <n v="80.922653199999999"/>
    <n v="81.216003420000007"/>
    <n v="82.912002560000005"/>
    <n v="80.71199799"/>
    <n v="81.177001950000005"/>
    <x v="210"/>
  </r>
  <r>
    <x v="212"/>
    <x v="20"/>
    <x v="10"/>
    <x v="0"/>
    <s v="Q4"/>
    <n v="81.985794069999997"/>
    <n v="82.282997129999998"/>
    <n v="82.949996949999999"/>
    <n v="80.605499269999996"/>
    <n v="81.53800201"/>
    <x v="211"/>
  </r>
  <r>
    <x v="213"/>
    <x v="21"/>
    <x v="10"/>
    <x v="0"/>
    <s v="Q4"/>
    <n v="86.977203369999998"/>
    <n v="87.292503359999998"/>
    <n v="88.501502990000006"/>
    <n v="85.150001529999997"/>
    <n v="85.278999330000005"/>
    <x v="212"/>
  </r>
  <r>
    <x v="214"/>
    <x v="1"/>
    <x v="10"/>
    <x v="0"/>
    <s v="Q4"/>
    <n v="87.806694030000003"/>
    <n v="88.125"/>
    <n v="89.591003420000007"/>
    <n v="87.051498409999994"/>
    <n v="88.522499080000003"/>
    <x v="213"/>
  </r>
  <r>
    <x v="215"/>
    <x v="4"/>
    <x v="10"/>
    <x v="0"/>
    <s v="Q4"/>
    <n v="87.668701170000006"/>
    <n v="87.986503600000006"/>
    <n v="88.425003050000001"/>
    <n v="86.833999629999994"/>
    <n v="87.567001340000004"/>
    <x v="214"/>
  </r>
  <r>
    <x v="216"/>
    <x v="5"/>
    <x v="10"/>
    <x v="0"/>
    <s v="Q4"/>
    <n v="87.752883909999994"/>
    <n v="88.070999150000006"/>
    <n v="90.844497680000003"/>
    <n v="87.877502440000001"/>
    <n v="89.799003600000006"/>
    <x v="215"/>
  </r>
  <r>
    <x v="217"/>
    <x v="22"/>
    <x v="10"/>
    <x v="0"/>
    <s v="Q4"/>
    <n v="86.572174070000003"/>
    <n v="86.886001590000006"/>
    <n v="87.969001770000006"/>
    <n v="85.805999760000006"/>
    <n v="86.488502499999996"/>
    <x v="216"/>
  </r>
  <r>
    <x v="218"/>
    <x v="23"/>
    <x v="10"/>
    <x v="0"/>
    <s v="Q4"/>
    <n v="87.04595947"/>
    <n v="87.361503600000006"/>
    <n v="88.144996640000002"/>
    <n v="87.152999879999996"/>
    <n v="87.41999817"/>
    <x v="217"/>
  </r>
  <r>
    <x v="219"/>
    <x v="6"/>
    <x v="10"/>
    <x v="0"/>
    <s v="Q4"/>
    <n v="86.82624817"/>
    <n v="87.140998839999995"/>
    <n v="88.249000550000005"/>
    <n v="86.898498540000006"/>
    <n v="87.099998470000003"/>
    <x v="218"/>
  </r>
  <r>
    <x v="220"/>
    <x v="9"/>
    <x v="10"/>
    <x v="0"/>
    <s v="Q4"/>
    <n v="88.292930600000005"/>
    <n v="88.612998959999999"/>
    <n v="88.856498720000005"/>
    <n v="86.799003600000006"/>
    <n v="87.400001529999997"/>
    <x v="219"/>
  </r>
  <r>
    <x v="221"/>
    <x v="10"/>
    <x v="10"/>
    <x v="0"/>
    <s v="Q4"/>
    <n v="88.38111877"/>
    <n v="88.701499940000005"/>
    <n v="89.717002870000002"/>
    <n v="88.066497799999993"/>
    <n v="88.207000730000004"/>
    <x v="220"/>
  </r>
  <r>
    <x v="222"/>
    <x v="24"/>
    <x v="10"/>
    <x v="0"/>
    <s v="Q4"/>
    <n v="87.764846800000001"/>
    <n v="88.083000179999999"/>
    <n v="88.857002260000002"/>
    <n v="87.974502560000005"/>
    <n v="88.392997739999998"/>
    <x v="221"/>
  </r>
  <r>
    <x v="223"/>
    <x v="25"/>
    <x v="10"/>
    <x v="0"/>
    <s v="Q4"/>
    <n v="86.717636110000001"/>
    <n v="87.031997680000003"/>
    <n v="88.25"/>
    <n v="86.928497309999997"/>
    <n v="87.832000730000004"/>
    <x v="222"/>
  </r>
  <r>
    <x v="224"/>
    <x v="26"/>
    <x v="10"/>
    <x v="0"/>
    <s v="Q4"/>
    <n v="87.610908510000002"/>
    <n v="87.928497309999997"/>
    <n v="88.174499510000004"/>
    <n v="86.500999449999995"/>
    <n v="86.661499019999994"/>
    <x v="223"/>
  </r>
  <r>
    <x v="225"/>
    <x v="13"/>
    <x v="10"/>
    <x v="0"/>
    <s v="Q4"/>
    <n v="86.505409240000006"/>
    <n v="86.819000239999994"/>
    <n v="88.417999269999996"/>
    <n v="86.75"/>
    <n v="88.099998470000003"/>
    <x v="224"/>
  </r>
  <r>
    <x v="226"/>
    <x v="14"/>
    <x v="10"/>
    <x v="0"/>
    <s v="Q4"/>
    <n v="86.066001889999995"/>
    <n v="86.377998349999999"/>
    <n v="87.299499510000004"/>
    <n v="85.509002690000003"/>
    <n v="87.011001590000006"/>
    <x v="225"/>
  </r>
  <r>
    <x v="227"/>
    <x v="27"/>
    <x v="10"/>
    <x v="0"/>
    <s v="Q4"/>
    <n v="87.876441959999994"/>
    <n v="88.194999690000003"/>
    <n v="88.323997500000004"/>
    <n v="86.036499019999994"/>
    <n v="86.375"/>
    <x v="226"/>
  </r>
  <r>
    <x v="228"/>
    <x v="15"/>
    <x v="10"/>
    <x v="0"/>
    <s v="Q4"/>
    <n v="87.887893680000005"/>
    <n v="88.206497189999993"/>
    <n v="88.518997189999993"/>
    <n v="87.417999269999996"/>
    <n v="88.390502929999997"/>
    <x v="227"/>
  </r>
  <r>
    <x v="229"/>
    <x v="18"/>
    <x v="10"/>
    <x v="0"/>
    <s v="Q4"/>
    <n v="89.02825928"/>
    <n v="89.350997919999998"/>
    <n v="89.85050201"/>
    <n v="88.22699738"/>
    <n v="88.22699738"/>
    <x v="228"/>
  </r>
  <r>
    <x v="230"/>
    <x v="30"/>
    <x v="11"/>
    <x v="0"/>
    <s v="Q4"/>
    <n v="87.403160099999994"/>
    <n v="87.72000122"/>
    <n v="89.016998290000004"/>
    <n v="87.391998290000004"/>
    <n v="88.78250122"/>
    <x v="229"/>
  </r>
  <r>
    <x v="231"/>
    <x v="29"/>
    <x v="11"/>
    <x v="0"/>
    <s v="Q4"/>
    <n v="89.443763730000001"/>
    <n v="89.767997739999998"/>
    <n v="91.085998540000006"/>
    <n v="88.151496890000004"/>
    <n v="88.333000179999999"/>
    <x v="230"/>
  </r>
  <r>
    <x v="232"/>
    <x v="0"/>
    <x v="11"/>
    <x v="0"/>
    <s v="Q4"/>
    <n v="90.918907169999997"/>
    <n v="91.248497009999994"/>
    <n v="91.637001040000001"/>
    <n v="89.258499150000006"/>
    <n v="89.767997739999998"/>
    <x v="231"/>
  </r>
  <r>
    <x v="233"/>
    <x v="20"/>
    <x v="11"/>
    <x v="0"/>
    <s v="Q4"/>
    <n v="90.762985229999998"/>
    <n v="91.092002870000002"/>
    <n v="92.191497799999993"/>
    <n v="90.849998470000003"/>
    <n v="91.027000430000001"/>
    <x v="232"/>
  </r>
  <r>
    <x v="234"/>
    <x v="2"/>
    <x v="11"/>
    <x v="0"/>
    <s v="Q4"/>
    <n v="90.858634949999995"/>
    <n v="91.188003539999997"/>
    <n v="91.474998470000003"/>
    <n v="90.67949677"/>
    <n v="91.011001590000006"/>
    <x v="233"/>
  </r>
  <r>
    <x v="235"/>
    <x v="3"/>
    <x v="11"/>
    <x v="0"/>
    <s v="Q4"/>
    <n v="90.523353580000006"/>
    <n v="90.851501459999994"/>
    <n v="91.464500430000001"/>
    <n v="90.152000430000001"/>
    <n v="90.777496339999999"/>
    <x v="234"/>
  </r>
  <r>
    <x v="236"/>
    <x v="4"/>
    <x v="11"/>
    <x v="0"/>
    <s v="Q4"/>
    <n v="90.239372250000002"/>
    <n v="90.566497799999993"/>
    <n v="90.798500059999995"/>
    <n v="89.564002990000006"/>
    <n v="90.426002499999996"/>
    <x v="235"/>
  </r>
  <r>
    <x v="237"/>
    <x v="5"/>
    <x v="11"/>
    <x v="0"/>
    <s v="Q4"/>
    <n v="88.571914669999998"/>
    <n v="88.892997739999998"/>
    <n v="91.418502810000007"/>
    <n v="88.099998470000003"/>
    <n v="90.517997739999998"/>
    <x v="236"/>
  </r>
  <r>
    <x v="238"/>
    <x v="22"/>
    <x v="11"/>
    <x v="0"/>
    <s v="Q4"/>
    <n v="88.063262940000001"/>
    <n v="88.382499690000003"/>
    <n v="88.749496460000003"/>
    <n v="86.676498409999994"/>
    <n v="88.129997250000002"/>
    <x v="237"/>
  </r>
  <r>
    <x v="239"/>
    <x v="7"/>
    <x v="11"/>
    <x v="0"/>
    <s v="Q4"/>
    <n v="88.419471740000006"/>
    <n v="88.739997860000003"/>
    <n v="88.865501399999999"/>
    <n v="87.637001040000001"/>
    <n v="88"/>
    <x v="238"/>
  </r>
  <r>
    <x v="240"/>
    <x v="8"/>
    <x v="11"/>
    <x v="0"/>
    <s v="Q4"/>
    <n v="87.29653931"/>
    <n v="87.612998959999999"/>
    <n v="89.489997860000003"/>
    <n v="87.456497189999993"/>
    <n v="88.536003109999996"/>
    <x v="239"/>
  </r>
  <r>
    <x v="241"/>
    <x v="9"/>
    <x v="11"/>
    <x v="0"/>
    <s v="Q4"/>
    <n v="87.735954280000001"/>
    <n v="88.054000849999994"/>
    <n v="88.199996949999999"/>
    <n v="87.083503719999996"/>
    <n v="87.992996219999995"/>
    <x v="240"/>
  </r>
  <r>
    <x v="242"/>
    <x v="10"/>
    <x v="11"/>
    <x v="0"/>
    <s v="Q4"/>
    <n v="87.542152400000006"/>
    <n v="87.859497070000003"/>
    <n v="88.455497739999998"/>
    <n v="87.453002929999997"/>
    <n v="88.455497739999998"/>
    <x v="241"/>
  </r>
  <r>
    <x v="243"/>
    <x v="24"/>
    <x v="11"/>
    <x v="0"/>
    <s v="Q4"/>
    <n v="86.711158749999996"/>
    <n v="87.025497439999995"/>
    <n v="88.33550262"/>
    <n v="86.557502749999998"/>
    <n v="88.196502690000003"/>
    <x v="242"/>
  </r>
  <r>
    <x v="244"/>
    <x v="11"/>
    <x v="11"/>
    <x v="0"/>
    <s v="Q4"/>
    <n v="85.999237059999999"/>
    <n v="86.310997009999994"/>
    <n v="87.417999269999996"/>
    <n v="85.75"/>
    <n v="87.308502200000007"/>
    <x v="243"/>
  </r>
  <r>
    <x v="245"/>
    <x v="12"/>
    <x v="11"/>
    <x v="0"/>
    <s v="Q4"/>
    <n v="86.414741520000007"/>
    <n v="86.727996829999995"/>
    <n v="86.849998470000003"/>
    <n v="84.699996949999999"/>
    <n v="85.456497189999993"/>
    <x v="244"/>
  </r>
  <r>
    <x v="246"/>
    <x v="13"/>
    <x v="11"/>
    <x v="0"/>
    <s v="Q4"/>
    <n v="85.70032501"/>
    <n v="86.011001590000006"/>
    <n v="86.630500789999999"/>
    <n v="85.289001459999994"/>
    <n v="86.466499330000005"/>
    <x v="245"/>
  </r>
  <r>
    <x v="247"/>
    <x v="14"/>
    <x v="11"/>
    <x v="0"/>
    <s v="Q4"/>
    <n v="86.099380490000001"/>
    <n v="86.411499019999994"/>
    <n v="87.205497739999998"/>
    <n v="86.059997559999999"/>
    <n v="86.196502690000003"/>
    <x v="246"/>
  </r>
  <r>
    <x v="248"/>
    <x v="16"/>
    <x v="11"/>
    <x v="0"/>
    <s v="Q4"/>
    <n v="86.394813540000001"/>
    <n v="86.708000179999999"/>
    <n v="87.120498659999996"/>
    <n v="86.21749878"/>
    <n v="86.449996949999999"/>
    <x v="247"/>
  </r>
  <r>
    <x v="249"/>
    <x v="17"/>
    <x v="11"/>
    <x v="0"/>
    <s v="Q4"/>
    <n v="88.377616880000005"/>
    <n v="88.697998049999995"/>
    <n v="89.349998470000003"/>
    <n v="87.091003420000007"/>
    <n v="87.245498659999996"/>
    <x v="248"/>
  </r>
  <r>
    <x v="250"/>
    <x v="18"/>
    <x v="11"/>
    <x v="0"/>
    <s v="Q4"/>
    <n v="87.570556640000007"/>
    <n v="87.888000489999996"/>
    <n v="89.423500059999995"/>
    <n v="87.755500789999999"/>
    <n v="89.361503600000006"/>
    <x v="249"/>
  </r>
  <r>
    <x v="251"/>
    <x v="19"/>
    <x v="11"/>
    <x v="0"/>
    <s v="Q4"/>
    <n v="86.498931880000001"/>
    <n v="86.8125"/>
    <n v="88.388000489999996"/>
    <n v="86.400001529999997"/>
    <n v="88.25"/>
    <x v="250"/>
  </r>
  <r>
    <x v="252"/>
    <x v="20"/>
    <x v="0"/>
    <x v="1"/>
    <s v="Q1"/>
    <n v="87.315475460000002"/>
    <n v="87.632003780000005"/>
    <n v="87.875"/>
    <n v="86.80449677"/>
    <n v="86.863502499999996"/>
    <x v="251"/>
  </r>
  <r>
    <x v="253"/>
    <x v="21"/>
    <x v="0"/>
    <x v="1"/>
    <s v="Q1"/>
    <n v="85.994766240000004"/>
    <n v="86.306503300000003"/>
    <n v="88.124496460000003"/>
    <n v="85.357002260000002"/>
    <n v="88"/>
    <x v="252"/>
  </r>
  <r>
    <x v="254"/>
    <x v="1"/>
    <x v="0"/>
    <x v="1"/>
    <s v="Q1"/>
    <n v="86.688247680000003"/>
    <n v="87.002502440000001"/>
    <n v="87.341499330000005"/>
    <n v="85.84500122"/>
    <n v="86.254501340000004"/>
    <x v="253"/>
  </r>
  <r>
    <x v="255"/>
    <x v="2"/>
    <x v="0"/>
    <x v="1"/>
    <s v="Q1"/>
    <n v="85.832839969999995"/>
    <n v="86.143997189999993"/>
    <n v="87.198501590000006"/>
    <n v="84.805000309999997"/>
    <n v="85.013000489999996"/>
    <x v="254"/>
  </r>
  <r>
    <x v="256"/>
    <x v="3"/>
    <x v="0"/>
    <x v="1"/>
    <s v="Q1"/>
    <n v="88.396553040000001"/>
    <n v="88.717002870000002"/>
    <n v="88.890998839999995"/>
    <n v="86.337997439999995"/>
    <n v="86.337997439999995"/>
    <x v="255"/>
  </r>
  <r>
    <x v="257"/>
    <x v="22"/>
    <x v="0"/>
    <x v="1"/>
    <s v="Q1"/>
    <n v="89.566810610000005"/>
    <n v="89.891502380000006"/>
    <n v="89.968002319999997"/>
    <n v="88.060997009999994"/>
    <n v="88.858001709999996"/>
    <x v="256"/>
  </r>
  <r>
    <x v="258"/>
    <x v="23"/>
    <x v="0"/>
    <x v="1"/>
    <s v="Q1"/>
    <n v="87.497314450000005"/>
    <n v="87.814498900000004"/>
    <n v="89.219001770000006"/>
    <n v="87.607002260000002"/>
    <n v="88.850997919999998"/>
    <x v="257"/>
  </r>
  <r>
    <x v="259"/>
    <x v="6"/>
    <x v="0"/>
    <x v="1"/>
    <s v="Q1"/>
    <n v="86.557716369999994"/>
    <n v="86.871498110000005"/>
    <n v="88.394996640000002"/>
    <n v="85.819000239999994"/>
    <n v="87.267997739999998"/>
    <x v="258"/>
  </r>
  <r>
    <x v="260"/>
    <x v="7"/>
    <x v="0"/>
    <x v="1"/>
    <s v="Q1"/>
    <n v="87.046958919999994"/>
    <n v="87.362503050000001"/>
    <n v="87.819503780000005"/>
    <n v="86.365997309999997"/>
    <n v="86.365997309999997"/>
    <x v="259"/>
  </r>
  <r>
    <x v="261"/>
    <x v="8"/>
    <x v="0"/>
    <x v="1"/>
    <s v="Q1"/>
    <n v="86.233398440000002"/>
    <n v="86.545997619999994"/>
    <n v="88.377502440000001"/>
    <n v="86.303497309999997"/>
    <n v="87.443496699999997"/>
    <x v="260"/>
  </r>
  <r>
    <x v="262"/>
    <x v="25"/>
    <x v="0"/>
    <x v="1"/>
    <s v="Q1"/>
    <n v="86.068992609999995"/>
    <n v="86.380996699999997"/>
    <n v="87.380996699999997"/>
    <n v="85.58550262"/>
    <n v="86.450996399999994"/>
    <x v="261"/>
  </r>
  <r>
    <x v="263"/>
    <x v="26"/>
    <x v="0"/>
    <x v="1"/>
    <s v="Q1"/>
    <n v="88.901229860000001"/>
    <n v="89.223503109999996"/>
    <n v="90.192001340000004"/>
    <n v="86.641502380000006"/>
    <n v="87.150001529999997"/>
    <x v="262"/>
  </r>
  <r>
    <x v="264"/>
    <x v="11"/>
    <x v="0"/>
    <x v="1"/>
    <s v="Q1"/>
    <n v="93.663963319999993"/>
    <n v="94.003501889999995"/>
    <n v="94.986000059999995"/>
    <n v="90.97550201"/>
    <n v="91.318496699999997"/>
    <x v="263"/>
  </r>
  <r>
    <x v="265"/>
    <x v="12"/>
    <x v="0"/>
    <x v="1"/>
    <s v="Q1"/>
    <n v="93.867218019999996"/>
    <n v="94.207496640000002"/>
    <n v="96.603996280000004"/>
    <n v="93.970497129999998"/>
    <n v="94.682502749999998"/>
    <x v="264"/>
  </r>
  <r>
    <x v="266"/>
    <x v="27"/>
    <x v="0"/>
    <x v="1"/>
    <s v="Q1"/>
    <n v="94.286201480000003"/>
    <n v="94.627998349999999"/>
    <n v="95.219497680000003"/>
    <n v="93.824996949999999"/>
    <n v="94.572998049999995"/>
    <x v="265"/>
  </r>
  <r>
    <x v="267"/>
    <x v="28"/>
    <x v="0"/>
    <x v="1"/>
    <s v="Q1"/>
    <n v="94.371887209999997"/>
    <n v="94.713996890000004"/>
    <n v="96.091003420000007"/>
    <n v="92.958000179999999"/>
    <n v="95.637001040000001"/>
    <x v="266"/>
  </r>
  <r>
    <x v="268"/>
    <x v="15"/>
    <x v="0"/>
    <x v="1"/>
    <s v="Q1"/>
    <n v="95.052925110000004"/>
    <n v="95.397499080000003"/>
    <n v="95.787498470000003"/>
    <n v="93.806503300000003"/>
    <n v="94.299499510000004"/>
    <x v="267"/>
  </r>
  <r>
    <x v="269"/>
    <x v="16"/>
    <x v="0"/>
    <x v="1"/>
    <s v="Q1"/>
    <n v="90.618499760000006"/>
    <n v="90.946998600000001"/>
    <n v="94.023498540000006"/>
    <n v="89.863998409999994"/>
    <n v="93.745498659999996"/>
    <x v="268"/>
  </r>
  <r>
    <x v="270"/>
    <x v="17"/>
    <x v="0"/>
    <x v="1"/>
    <s v="Q1"/>
    <n v="92.325317380000001"/>
    <n v="92.660003660000001"/>
    <n v="94.39949799"/>
    <n v="91.550003050000001"/>
    <n v="91.550003050000001"/>
    <x v="269"/>
  </r>
  <r>
    <x v="271"/>
    <x v="30"/>
    <x v="1"/>
    <x v="1"/>
    <s v="Q1"/>
    <n v="91.037979129999997"/>
    <n v="91.367996219999995"/>
    <n v="92.376998900000004"/>
    <n v="90.078002929999997"/>
    <n v="91.700996399999994"/>
    <x v="270"/>
  </r>
  <r>
    <x v="272"/>
    <x v="29"/>
    <x v="1"/>
    <x v="1"/>
    <s v="Q1"/>
    <n v="94.311622619999994"/>
    <n v="94.653503420000007"/>
    <n v="95.777000430000001"/>
    <n v="92.229499820000001"/>
    <n v="92.229499820000001"/>
    <x v="271"/>
  </r>
  <r>
    <x v="273"/>
    <x v="0"/>
    <x v="1"/>
    <x v="1"/>
    <s v="Q1"/>
    <n v="95.609405519999996"/>
    <n v="95.956001279999995"/>
    <n v="97.468498229999994"/>
    <n v="95.318496699999997"/>
    <n v="95.656501770000006"/>
    <x v="272"/>
  </r>
  <r>
    <x v="274"/>
    <x v="20"/>
    <x v="1"/>
    <x v="1"/>
    <s v="Q1"/>
    <n v="102.5721741"/>
    <n v="102.9440002"/>
    <n v="105.3310013"/>
    <n v="100.67749790000001"/>
    <n v="103.28050229999999"/>
    <x v="273"/>
  </r>
  <r>
    <x v="275"/>
    <x v="21"/>
    <x v="1"/>
    <x v="1"/>
    <s v="Q1"/>
    <n v="102.3106155"/>
    <n v="102.6815033"/>
    <n v="103.4649963"/>
    <n v="101.7549973"/>
    <n v="103.0309982"/>
    <x v="274"/>
  </r>
  <r>
    <x v="276"/>
    <x v="3"/>
    <x v="1"/>
    <x v="1"/>
    <s v="Q1"/>
    <n v="104.0642624"/>
    <n v="104.44149779999999"/>
    <n v="104.7969971"/>
    <n v="102.5"/>
    <n v="102.9779968"/>
    <x v="275"/>
  </r>
  <r>
    <x v="277"/>
    <x v="4"/>
    <x v="1"/>
    <x v="1"/>
    <s v="Q1"/>
    <n v="103.8495331"/>
    <n v="104.2259979"/>
    <n v="105.75"/>
    <n v="103.1675034"/>
    <n v="105"/>
    <x v="276"/>
  </r>
  <r>
    <x v="278"/>
    <x v="5"/>
    <x v="1"/>
    <x v="1"/>
    <s v="Q1"/>
    <n v="103.3946838"/>
    <n v="103.76950069999999"/>
    <n v="104.925499"/>
    <n v="103.5"/>
    <n v="103.73999790000001"/>
    <x v="277"/>
  </r>
  <r>
    <x v="279"/>
    <x v="22"/>
    <x v="1"/>
    <x v="1"/>
    <s v="Q1"/>
    <n v="103.9471817"/>
    <n v="104.3239975"/>
    <n v="104.9440002"/>
    <n v="102.6119995"/>
    <n v="104.15699770000001"/>
    <x v="278"/>
  </r>
  <r>
    <x v="280"/>
    <x v="23"/>
    <x v="1"/>
    <x v="1"/>
    <s v="Q1"/>
    <n v="104.0602646"/>
    <n v="104.4375"/>
    <n v="104.6999969"/>
    <n v="103.44300079999999"/>
    <n v="104.5500031"/>
    <x v="279"/>
  </r>
  <r>
    <x v="281"/>
    <x v="9"/>
    <x v="1"/>
    <x v="1"/>
    <s v="Q1"/>
    <n v="104.3731384"/>
    <n v="104.751503"/>
    <n v="104.9749985"/>
    <n v="103.6784973"/>
    <n v="103.9885025"/>
    <x v="280"/>
  </r>
  <r>
    <x v="282"/>
    <x v="10"/>
    <x v="1"/>
    <x v="1"/>
    <s v="Q1"/>
    <n v="105.15381619999999"/>
    <n v="105.5350037"/>
    <n v="107.25700380000001"/>
    <n v="104.5875015"/>
    <n v="104.5875015"/>
    <x v="281"/>
  </r>
  <r>
    <x v="283"/>
    <x v="24"/>
    <x v="1"/>
    <x v="1"/>
    <s v="Q1"/>
    <n v="105.5483704"/>
    <n v="105.9309998"/>
    <n v="106.1220016"/>
    <n v="104.4175034"/>
    <n v="104.6989975"/>
    <x v="282"/>
  </r>
  <r>
    <x v="284"/>
    <x v="25"/>
    <x v="1"/>
    <x v="1"/>
    <s v="Q1"/>
    <n v="104.91017909999999"/>
    <n v="105.2904968"/>
    <n v="106.09950259999999"/>
    <n v="104.66649630000001"/>
    <n v="105.25"/>
    <x v="283"/>
  </r>
  <r>
    <x v="285"/>
    <x v="12"/>
    <x v="1"/>
    <x v="1"/>
    <s v="Q1"/>
    <n v="104.0632629"/>
    <n v="104.4404984"/>
    <n v="105.92900090000001"/>
    <n v="104.17150119999999"/>
    <n v="105.3895035"/>
    <x v="284"/>
  </r>
  <r>
    <x v="286"/>
    <x v="13"/>
    <x v="1"/>
    <x v="1"/>
    <s v="Q1"/>
    <n v="102.3420029"/>
    <n v="102.71299740000001"/>
    <n v="104.01650239999999"/>
    <n v="102.4000015"/>
    <n v="102.6800003"/>
    <x v="285"/>
  </r>
  <r>
    <x v="287"/>
    <x v="14"/>
    <x v="1"/>
    <x v="1"/>
    <s v="Q1"/>
    <n v="102.63394169999999"/>
    <n v="103.0059967"/>
    <n v="103.625"/>
    <n v="99.511497500000004"/>
    <n v="100.699501"/>
    <x v="286"/>
  </r>
  <r>
    <x v="288"/>
    <x v="27"/>
    <x v="1"/>
    <x v="1"/>
    <s v="Q1"/>
    <n v="103.8141632"/>
    <n v="104.1904984"/>
    <n v="104.4160004"/>
    <n v="101.376503"/>
    <n v="101.5019989"/>
    <x v="287"/>
  </r>
  <r>
    <x v="289"/>
    <x v="28"/>
    <x v="1"/>
    <x v="1"/>
    <s v="Q1"/>
    <n v="100.4334259"/>
    <n v="100.79750060000001"/>
    <n v="104.1500015"/>
    <n v="100.324501"/>
    <n v="102.79650119999999"/>
    <x v="288"/>
  </r>
  <r>
    <x v="290"/>
    <x v="30"/>
    <x v="2"/>
    <x v="1"/>
    <s v="Q1"/>
    <n v="100.73033909999999"/>
    <n v="101.0954971"/>
    <n v="102.82599639999999"/>
    <n v="100.050499"/>
    <n v="101.4974976"/>
    <x v="289"/>
  </r>
  <r>
    <x v="291"/>
    <x v="29"/>
    <x v="2"/>
    <x v="1"/>
    <s v="Q1"/>
    <n v="103.10922239999999"/>
    <n v="103.4830017"/>
    <n v="103.81150049999999"/>
    <n v="101.7210007"/>
    <n v="102.4000015"/>
    <x v="290"/>
  </r>
  <r>
    <x v="292"/>
    <x v="0"/>
    <x v="2"/>
    <x v="1"/>
    <s v="Q1"/>
    <n v="102.85115810000001"/>
    <n v="103.22399900000001"/>
    <n v="104.7369995"/>
    <n v="102.83350369999999"/>
    <n v="103.2419968"/>
    <x v="291"/>
  </r>
  <r>
    <x v="293"/>
    <x v="20"/>
    <x v="2"/>
    <x v="1"/>
    <s v="Q1"/>
    <n v="100.20724490000001"/>
    <n v="100.5705032"/>
    <n v="103.7994995"/>
    <n v="99.699996949999999"/>
    <n v="102.5975037"/>
    <x v="292"/>
  </r>
  <r>
    <x v="294"/>
    <x v="21"/>
    <x v="2"/>
    <x v="1"/>
    <s v="Q1"/>
    <n v="101.3291779"/>
    <n v="101.6965027"/>
    <n v="103.7294998"/>
    <n v="100.2714996"/>
    <n v="100.7434998"/>
    <x v="293"/>
  </r>
  <r>
    <x v="295"/>
    <x v="3"/>
    <x v="2"/>
    <x v="1"/>
    <s v="Q1"/>
    <n v="104.4747696"/>
    <n v="104.8535004"/>
    <n v="105.3099976"/>
    <n v="101.3889999"/>
    <n v="103.0575027"/>
    <x v="294"/>
  </r>
  <r>
    <x v="296"/>
    <x v="4"/>
    <x v="2"/>
    <x v="1"/>
    <s v="Q1"/>
    <n v="100.0124435"/>
    <n v="100.375"/>
    <n v="105.68699650000001"/>
    <n v="100.2594986"/>
    <n v="104.2030029"/>
    <x v="295"/>
  </r>
  <r>
    <x v="297"/>
    <x v="5"/>
    <x v="2"/>
    <x v="1"/>
    <s v="Q1"/>
    <n v="101.6495132"/>
    <n v="102.0179977"/>
    <n v="103.19599909999999"/>
    <n v="101.7799988"/>
    <n v="102.4875031"/>
    <x v="296"/>
  </r>
  <r>
    <x v="298"/>
    <x v="22"/>
    <x v="2"/>
    <x v="1"/>
    <s v="Q1"/>
    <n v="101.4417648"/>
    <n v="101.8095016"/>
    <n v="103.0699997"/>
    <n v="100.9664993"/>
    <n v="103.0699997"/>
    <x v="297"/>
  </r>
  <r>
    <x v="299"/>
    <x v="23"/>
    <x v="2"/>
    <x v="1"/>
    <s v="Q1"/>
    <n v="104.647644"/>
    <n v="105.02700040000001"/>
    <n v="105.56349950000001"/>
    <n v="102.82250209999999"/>
    <n v="102.9110031"/>
    <x v="298"/>
  </r>
  <r>
    <x v="300"/>
    <x v="8"/>
    <x v="2"/>
    <x v="1"/>
    <s v="Q1"/>
    <n v="102.12977600000001"/>
    <n v="102.5"/>
    <n v="103.88050079999999"/>
    <n v="101.62100220000001"/>
    <n v="103.8205032"/>
    <x v="299"/>
  </r>
  <r>
    <x v="301"/>
    <x v="9"/>
    <x v="2"/>
    <x v="1"/>
    <s v="Q1"/>
    <n v="102.3509674"/>
    <n v="102.7220001"/>
    <n v="102.74949650000001"/>
    <n v="101.3895035"/>
    <n v="102.24900049999999"/>
    <x v="300"/>
  </r>
  <r>
    <x v="302"/>
    <x v="10"/>
    <x v="2"/>
    <x v="1"/>
    <s v="Q1"/>
    <n v="103.818161"/>
    <n v="104.19450380000001"/>
    <n v="105.6839981"/>
    <n v="102.96450040000001"/>
    <n v="103.2994995"/>
    <x v="301"/>
  </r>
  <r>
    <x v="303"/>
    <x v="24"/>
    <x v="2"/>
    <x v="1"/>
    <s v="Q1"/>
    <n v="103.73494719999999"/>
    <n v="104.1110001"/>
    <n v="104.9499969"/>
    <n v="102.2060013"/>
    <n v="103.4235001"/>
    <x v="160"/>
  </r>
  <r>
    <x v="304"/>
    <x v="25"/>
    <x v="2"/>
    <x v="1"/>
    <s v="Q1"/>
    <n v="100.70194239999999"/>
    <n v="101.0670013"/>
    <n v="103.4375"/>
    <n v="100.9589996"/>
    <n v="102.40899659999999"/>
    <x v="302"/>
  </r>
  <r>
    <x v="305"/>
    <x v="12"/>
    <x v="2"/>
    <x v="1"/>
    <s v="Q1"/>
    <n v="100.981926"/>
    <n v="101.34799959999999"/>
    <n v="101.8519974"/>
    <n v="100.1464996"/>
    <n v="101.48650360000001"/>
    <x v="303"/>
  </r>
  <r>
    <x v="306"/>
    <x v="13"/>
    <x v="2"/>
    <x v="1"/>
    <s v="Q1"/>
    <n v="101.16775509999999"/>
    <n v="101.5345001"/>
    <n v="102.4169998"/>
    <n v="100.6999969"/>
    <n v="101.3815002"/>
    <x v="304"/>
  </r>
  <r>
    <x v="307"/>
    <x v="14"/>
    <x v="2"/>
    <x v="1"/>
    <s v="Q1"/>
    <n v="101.6978378"/>
    <n v="102.06649779999999"/>
    <n v="103.2054977"/>
    <n v="101.4000015"/>
    <n v="101.9974976"/>
    <x v="305"/>
  </r>
  <r>
    <x v="308"/>
    <x v="27"/>
    <x v="2"/>
    <x v="1"/>
    <s v="Q1"/>
    <n v="101.2594299"/>
    <n v="101.626503"/>
    <n v="103.3799973"/>
    <n v="101.4499969"/>
    <n v="102.58799740000001"/>
    <x v="306"/>
  </r>
  <r>
    <x v="309"/>
    <x v="28"/>
    <x v="2"/>
    <x v="1"/>
    <s v="Q1"/>
    <n v="101.2559433"/>
    <n v="101.6230011"/>
    <n v="102.28199770000001"/>
    <n v="99.80449677"/>
    <n v="101.45249939999999"/>
    <x v="307"/>
  </r>
  <r>
    <x v="310"/>
    <x v="17"/>
    <x v="2"/>
    <x v="1"/>
    <s v="Q1"/>
    <n v="100.870842"/>
    <n v="101.23650360000001"/>
    <n v="101.96949770000001"/>
    <n v="100.1924973"/>
    <n v="101.58950040000001"/>
    <x v="308"/>
  </r>
  <r>
    <x v="311"/>
    <x v="18"/>
    <x v="2"/>
    <x v="1"/>
    <s v="Q1"/>
    <n v="101.9200287"/>
    <n v="102.2894974"/>
    <n v="102.4605026"/>
    <n v="100.2724991"/>
    <n v="101.1080017"/>
    <x v="309"/>
  </r>
  <r>
    <x v="312"/>
    <x v="19"/>
    <x v="2"/>
    <x v="1"/>
    <s v="Q1"/>
    <n v="101.9539108"/>
    <n v="102.3235016"/>
    <n v="103.13349909999999"/>
    <n v="101.8075027"/>
    <n v="102.6490021"/>
    <x v="310"/>
  </r>
  <r>
    <x v="313"/>
    <x v="30"/>
    <x v="3"/>
    <x v="1"/>
    <s v="Q2"/>
    <n v="102.75350950000001"/>
    <n v="103.12599950000001"/>
    <n v="104.31300349999999"/>
    <n v="102.3499985"/>
    <n v="102.7200012"/>
    <x v="311"/>
  </r>
  <r>
    <x v="314"/>
    <x v="21"/>
    <x v="3"/>
    <x v="1"/>
    <s v="Q2"/>
    <n v="106.1043701"/>
    <n v="106.4889984"/>
    <n v="106.7874985"/>
    <n v="104.5715027"/>
    <n v="104.6125031"/>
    <x v="312"/>
  </r>
  <r>
    <x v="315"/>
    <x v="1"/>
    <x v="3"/>
    <x v="1"/>
    <s v="Q2"/>
    <n v="110.5472565"/>
    <n v="110.947998"/>
    <n v="111.449501"/>
    <n v="107.260498"/>
    <n v="107.35749819999999"/>
    <x v="313"/>
  </r>
  <r>
    <x v="316"/>
    <x v="2"/>
    <x v="3"/>
    <x v="1"/>
    <s v="Q2"/>
    <n v="110.064003"/>
    <n v="110.46299740000001"/>
    <n v="111.4000015"/>
    <n v="110.08950040000001"/>
    <n v="110.54599760000001"/>
    <x v="314"/>
  </r>
  <r>
    <x v="317"/>
    <x v="3"/>
    <x v="3"/>
    <x v="1"/>
    <s v="Q2"/>
    <n v="111.5471344"/>
    <n v="111.9514999"/>
    <n v="112.2249985"/>
    <n v="110.6549988"/>
    <n v="110.6549988"/>
    <x v="315"/>
  </r>
  <r>
    <x v="318"/>
    <x v="4"/>
    <x v="3"/>
    <x v="1"/>
    <s v="Q2"/>
    <n v="112.1150742"/>
    <n v="112.5214996"/>
    <n v="113.58950040000001"/>
    <n v="112.15049740000001"/>
    <n v="113.1999969"/>
    <x v="316"/>
  </r>
  <r>
    <x v="319"/>
    <x v="23"/>
    <x v="3"/>
    <x v="1"/>
    <s v="Q2"/>
    <n v="113.1234207"/>
    <n v="113.5335007"/>
    <n v="113.6985016"/>
    <n v="111.862999"/>
    <n v="112.2720032"/>
    <x v="317"/>
  </r>
  <r>
    <x v="320"/>
    <x v="6"/>
    <x v="3"/>
    <x v="1"/>
    <s v="Q2"/>
    <n v="111.8256226"/>
    <n v="112.2310028"/>
    <n v="112.84449770000001"/>
    <n v="111.39099880000001"/>
    <n v="112.7060013"/>
    <x v="318"/>
  </r>
  <r>
    <x v="321"/>
    <x v="7"/>
    <x v="3"/>
    <x v="1"/>
    <s v="Q2"/>
    <n v="112.3143463"/>
    <n v="112.72149659999999"/>
    <n v="113.1735001"/>
    <n v="112.1524963"/>
    <n v="112.5494995"/>
    <x v="319"/>
  </r>
  <r>
    <x v="322"/>
    <x v="8"/>
    <x v="3"/>
    <x v="1"/>
    <s v="Q2"/>
    <n v="111.69060519999999"/>
    <n v="112.0954971"/>
    <n v="113.3714981"/>
    <n v="111.8010025"/>
    <n v="113.3714981"/>
    <x v="320"/>
  </r>
  <r>
    <x v="323"/>
    <x v="9"/>
    <x v="3"/>
    <x v="1"/>
    <s v="Q2"/>
    <n v="113.8497849"/>
    <n v="114.2624969"/>
    <n v="114.8000031"/>
    <n v="112.55850220000001"/>
    <n v="113.0975037"/>
    <x v="321"/>
  </r>
  <r>
    <x v="324"/>
    <x v="25"/>
    <x v="3"/>
    <x v="1"/>
    <s v="Q2"/>
    <n v="113.725235"/>
    <n v="114.1374969"/>
    <n v="114.71199799999999"/>
    <n v="113.54599760000001"/>
    <n v="114.46199799999999"/>
    <x v="322"/>
  </r>
  <r>
    <x v="325"/>
    <x v="26"/>
    <x v="3"/>
    <x v="1"/>
    <s v="Q2"/>
    <n v="114.0744705"/>
    <n v="114.487999"/>
    <n v="115.2044983"/>
    <n v="113.5090027"/>
    <n v="113.5090027"/>
    <x v="323"/>
  </r>
  <r>
    <x v="326"/>
    <x v="11"/>
    <x v="3"/>
    <x v="1"/>
    <s v="Q2"/>
    <n v="113.53890989999999"/>
    <n v="113.9505005"/>
    <n v="114.9499969"/>
    <n v="112.8560028"/>
    <n v="114.87449650000001"/>
    <x v="234"/>
  </r>
  <r>
    <x v="327"/>
    <x v="12"/>
    <x v="3"/>
    <x v="1"/>
    <s v="Q2"/>
    <n v="113.5060349"/>
    <n v="113.9175034"/>
    <n v="114"/>
    <n v="112.2409973"/>
    <n v="113.6025009"/>
    <x v="324"/>
  </r>
  <r>
    <x v="328"/>
    <x v="13"/>
    <x v="3"/>
    <x v="1"/>
    <s v="Q2"/>
    <n v="112.21920009999999"/>
    <n v="112.62599950000001"/>
    <n v="114.4440002"/>
    <n v="112.01599880000001"/>
    <n v="113.7699966"/>
    <x v="325"/>
  </r>
  <r>
    <x v="329"/>
    <x v="28"/>
    <x v="3"/>
    <x v="1"/>
    <s v="Q2"/>
    <n v="114.5811386"/>
    <n v="114.9964981"/>
    <n v="115.3059998"/>
    <n v="113.0625"/>
    <n v="113.3499985"/>
    <x v="326"/>
  </r>
  <r>
    <x v="330"/>
    <x v="15"/>
    <x v="3"/>
    <x v="1"/>
    <s v="Q2"/>
    <n v="115.0793304"/>
    <n v="115.4964981"/>
    <n v="116.2265015"/>
    <n v="114.8659973"/>
    <n v="115.2259979"/>
    <x v="327"/>
  </r>
  <r>
    <x v="331"/>
    <x v="16"/>
    <x v="3"/>
    <x v="1"/>
    <s v="Q2"/>
    <n v="114.1352539"/>
    <n v="114.54900360000001"/>
    <n v="115.92250060000001"/>
    <n v="114.3079987"/>
    <n v="115.8815002"/>
    <x v="328"/>
  </r>
  <r>
    <x v="332"/>
    <x v="17"/>
    <x v="3"/>
    <x v="1"/>
    <s v="Q2"/>
    <n v="117.5259705"/>
    <n v="117.9520035"/>
    <n v="121.5690002"/>
    <n v="117.6610031"/>
    <n v="119.625"/>
    <x v="329"/>
  </r>
  <r>
    <x v="333"/>
    <x v="18"/>
    <x v="3"/>
    <x v="1"/>
    <s v="Q2"/>
    <n v="119.20587159999999"/>
    <n v="119.6380005"/>
    <n v="120.2080002"/>
    <n v="118.6924973"/>
    <n v="119.4615021"/>
    <x v="330"/>
  </r>
  <r>
    <x v="334"/>
    <x v="0"/>
    <x v="4"/>
    <x v="1"/>
    <s v="Q2"/>
    <n v="117.2499619"/>
    <n v="117.6750031"/>
    <n v="119.0924988"/>
    <n v="117.3280029"/>
    <n v="118.40100099999999"/>
    <x v="331"/>
  </r>
  <r>
    <x v="335"/>
    <x v="20"/>
    <x v="4"/>
    <x v="1"/>
    <s v="Q2"/>
    <n v="116.730835"/>
    <n v="117.1539993"/>
    <n v="119.07749939999999"/>
    <n v="116.7750015"/>
    <n v="118.2454987"/>
    <x v="332"/>
  </r>
  <r>
    <x v="336"/>
    <x v="21"/>
    <x v="4"/>
    <x v="1"/>
    <s v="Q2"/>
    <n v="114.9248886"/>
    <n v="115.3414993"/>
    <n v="116.24949650000001"/>
    <n v="112.8339996"/>
    <n v="115.67749790000001"/>
    <x v="333"/>
  </r>
  <r>
    <x v="337"/>
    <x v="1"/>
    <x v="4"/>
    <x v="1"/>
    <s v="Q2"/>
    <n v="115.3204575"/>
    <n v="115.7385025"/>
    <n v="116.75"/>
    <n v="115.4140015"/>
    <n v="116.4315033"/>
    <x v="334"/>
  </r>
  <r>
    <x v="338"/>
    <x v="2"/>
    <x v="4"/>
    <x v="1"/>
    <s v="Q2"/>
    <n v="116.4453735"/>
    <n v="116.8675003"/>
    <n v="116.8675003"/>
    <n v="114.65200040000001"/>
    <n v="115.31649779999999"/>
    <x v="335"/>
  </r>
  <r>
    <x v="339"/>
    <x v="5"/>
    <x v="4"/>
    <x v="1"/>
    <s v="Q2"/>
    <n v="117.17173769999999"/>
    <n v="117.59649659999999"/>
    <n v="118.5625"/>
    <n v="117.3079987"/>
    <n v="118.19450380000001"/>
    <x v="336"/>
  </r>
  <r>
    <x v="340"/>
    <x v="22"/>
    <x v="4"/>
    <x v="1"/>
    <s v="Q2"/>
    <n v="114.1736145"/>
    <n v="114.5875015"/>
    <n v="116.5500031"/>
    <n v="114.2269974"/>
    <n v="116.40699770000001"/>
    <x v="337"/>
  </r>
  <r>
    <x v="341"/>
    <x v="23"/>
    <x v="4"/>
    <x v="1"/>
    <s v="Q2"/>
    <n v="113.0930252"/>
    <n v="113.5029984"/>
    <n v="114.0139999"/>
    <n v="111.69599909999999"/>
    <n v="112.15350340000001"/>
    <x v="338"/>
  </r>
  <r>
    <x v="342"/>
    <x v="6"/>
    <x v="4"/>
    <x v="1"/>
    <s v="Q2"/>
    <n v="109.6151352"/>
    <n v="110.0124969"/>
    <n v="112.3990021"/>
    <n v="109.6809998"/>
    <n v="111.3095016"/>
    <x v="339"/>
  </r>
  <r>
    <x v="343"/>
    <x v="7"/>
    <x v="4"/>
    <x v="1"/>
    <s v="Q2"/>
    <n v="111.04943849999999"/>
    <n v="111.4520035"/>
    <n v="111.9720001"/>
    <n v="110.3359985"/>
    <n v="111.3059998"/>
    <x v="340"/>
  </r>
  <r>
    <x v="344"/>
    <x v="10"/>
    <x v="4"/>
    <x v="1"/>
    <s v="Q2"/>
    <n v="113.5075226"/>
    <n v="113.9189987"/>
    <n v="114.2360001"/>
    <n v="112.5"/>
    <n v="112.927002"/>
    <x v="341"/>
  </r>
  <r>
    <x v="345"/>
    <x v="24"/>
    <x v="4"/>
    <x v="1"/>
    <s v="Q2"/>
    <n v="114.0326233"/>
    <n v="114.44599909999999"/>
    <n v="114.4889984"/>
    <n v="112.77549740000001"/>
    <n v="113.1784973"/>
    <x v="342"/>
  </r>
  <r>
    <x v="346"/>
    <x v="25"/>
    <x v="4"/>
    <x v="1"/>
    <s v="Q2"/>
    <n v="112.7148895"/>
    <n v="113.123497"/>
    <n v="115.3840027"/>
    <n v="113.1094971"/>
    <n v="115.1175003"/>
    <x v="343"/>
  </r>
  <r>
    <x v="347"/>
    <x v="26"/>
    <x v="4"/>
    <x v="1"/>
    <s v="Q2"/>
    <n v="113.1647644"/>
    <n v="113.5749969"/>
    <n v="113.74949650000001"/>
    <n v="111.2720032"/>
    <n v="111.42150119999999"/>
    <x v="344"/>
  </r>
  <r>
    <x v="348"/>
    <x v="11"/>
    <x v="4"/>
    <x v="1"/>
    <s v="Q2"/>
    <n v="114.93087010000001"/>
    <n v="115.3475037"/>
    <n v="115.5999985"/>
    <n v="114.1760025"/>
    <n v="114.5500031"/>
    <x v="345"/>
  </r>
  <r>
    <x v="349"/>
    <x v="14"/>
    <x v="4"/>
    <x v="1"/>
    <s v="Q2"/>
    <n v="114.2921829"/>
    <n v="114.7064972"/>
    <n v="115.94450380000001"/>
    <n v="114.4649963"/>
    <n v="115.8704987"/>
    <x v="346"/>
  </r>
  <r>
    <x v="350"/>
    <x v="27"/>
    <x v="4"/>
    <x v="1"/>
    <s v="Q2"/>
    <n v="117.6256027"/>
    <n v="118.052002"/>
    <n v="118.2774963"/>
    <n v="115.59799959999999"/>
    <n v="115.74449920000001"/>
    <x v="347"/>
  </r>
  <r>
    <x v="351"/>
    <x v="28"/>
    <x v="4"/>
    <x v="1"/>
    <s v="Q2"/>
    <n v="117.716774"/>
    <n v="118.1435013"/>
    <n v="119.1999969"/>
    <n v="117.75"/>
    <n v="118.5999985"/>
    <x v="348"/>
  </r>
  <r>
    <x v="352"/>
    <x v="15"/>
    <x v="4"/>
    <x v="1"/>
    <s v="Q2"/>
    <n v="118.58561709999999"/>
    <n v="119.0155029"/>
    <n v="119.449501"/>
    <n v="118.322998"/>
    <n v="118.32599639999999"/>
    <x v="349"/>
  </r>
  <r>
    <x v="353"/>
    <x v="16"/>
    <x v="4"/>
    <x v="1"/>
    <s v="Q2"/>
    <n v="117.70729830000001"/>
    <n v="118.1340027"/>
    <n v="119.45249939999999"/>
    <n v="117.81300349999999"/>
    <n v="119.45249939999999"/>
    <x v="350"/>
  </r>
  <r>
    <x v="354"/>
    <x v="30"/>
    <x v="5"/>
    <x v="1"/>
    <s v="Q2"/>
    <n v="117.4168549"/>
    <n v="117.8424988"/>
    <n v="118.8034973"/>
    <n v="117.64250180000001"/>
    <n v="118.7210007"/>
    <x v="351"/>
  </r>
  <r>
    <x v="355"/>
    <x v="29"/>
    <x v="5"/>
    <x v="1"/>
    <s v="Q2"/>
    <n v="118.6289673"/>
    <n v="119.0589981"/>
    <n v="119.28549959999999"/>
    <n v="117.7139969"/>
    <n v="118.7220001"/>
    <x v="352"/>
  </r>
  <r>
    <x v="356"/>
    <x v="0"/>
    <x v="5"/>
    <x v="1"/>
    <s v="Q2"/>
    <n v="118.1013794"/>
    <n v="118.5295029"/>
    <n v="119.68199920000001"/>
    <n v="117.61799619999999"/>
    <n v="119.4574966"/>
    <x v="353"/>
  </r>
  <r>
    <x v="357"/>
    <x v="20"/>
    <x v="5"/>
    <x v="1"/>
    <s v="Q2"/>
    <n v="116.9550247"/>
    <n v="117.37899779999999"/>
    <n v="117.8509979"/>
    <n v="116.4759979"/>
    <n v="117.28649900000001"/>
    <x v="354"/>
  </r>
  <r>
    <x v="358"/>
    <x v="2"/>
    <x v="5"/>
    <x v="1"/>
    <s v="Q2"/>
    <n v="119.24622340000001"/>
    <n v="119.6784973"/>
    <n v="119.9514999"/>
    <n v="118.1204987"/>
    <n v="118.46350099999999"/>
    <x v="355"/>
  </r>
  <r>
    <x v="359"/>
    <x v="3"/>
    <x v="5"/>
    <x v="1"/>
    <s v="Q2"/>
    <n v="119.6811371"/>
    <n v="120.11499790000001"/>
    <n v="120.22550200000001"/>
    <n v="119.0500031"/>
    <n v="119.4720001"/>
    <x v="356"/>
  </r>
  <r>
    <x v="360"/>
    <x v="4"/>
    <x v="5"/>
    <x v="1"/>
    <s v="Q2"/>
    <n v="119.4888382"/>
    <n v="119.9219971"/>
    <n v="120.9759979"/>
    <n v="119.7389984"/>
    <n v="120.60050200000001"/>
    <x v="357"/>
  </r>
  <r>
    <x v="361"/>
    <x v="5"/>
    <x v="5"/>
    <x v="1"/>
    <s v="Q2"/>
    <n v="119.9621353"/>
    <n v="120.3970032"/>
    <n v="120.6439972"/>
    <n v="119.8450012"/>
    <n v="120.5715027"/>
    <x v="358"/>
  </r>
  <r>
    <x v="362"/>
    <x v="22"/>
    <x v="5"/>
    <x v="1"/>
    <s v="Q2"/>
    <n v="121.3167191"/>
    <n v="121.7565002"/>
    <n v="121.8000031"/>
    <n v="120.189003"/>
    <n v="120.3460007"/>
    <x v="359"/>
  </r>
  <r>
    <x v="363"/>
    <x v="7"/>
    <x v="5"/>
    <x v="1"/>
    <s v="Q2"/>
    <n v="121.071106"/>
    <n v="121.51000209999999"/>
    <n v="122.0859985"/>
    <n v="120.947998"/>
    <n v="122"/>
    <x v="360"/>
  </r>
  <r>
    <x v="364"/>
    <x v="8"/>
    <x v="5"/>
    <x v="1"/>
    <s v="Q2"/>
    <n v="122.0032272"/>
    <n v="122.4455032"/>
    <n v="122.44599909999999"/>
    <n v="120.9000015"/>
    <n v="121.612999"/>
    <x v="361"/>
  </r>
  <r>
    <x v="365"/>
    <x v="9"/>
    <x v="5"/>
    <x v="1"/>
    <s v="Q2"/>
    <n v="120.9809341"/>
    <n v="121.4195023"/>
    <n v="122.77549740000001"/>
    <n v="121.0559998"/>
    <n v="122.4499969"/>
    <x v="362"/>
  </r>
  <r>
    <x v="366"/>
    <x v="10"/>
    <x v="5"/>
    <x v="1"/>
    <s v="Q2"/>
    <n v="120.3362656"/>
    <n v="120.7724991"/>
    <n v="121.8860016"/>
    <n v="119.4700012"/>
    <n v="121.5719986"/>
    <x v="363"/>
  </r>
  <r>
    <x v="367"/>
    <x v="24"/>
    <x v="5"/>
    <x v="1"/>
    <s v="Q2"/>
    <n v="121.3037643"/>
    <n v="121.7434998"/>
    <n v="122.5224991"/>
    <n v="120.5"/>
    <n v="120.69750209999999"/>
    <x v="364"/>
  </r>
  <r>
    <x v="368"/>
    <x v="11"/>
    <x v="5"/>
    <x v="1"/>
    <s v="Q2"/>
    <n v="119.6771622"/>
    <n v="120.1110001"/>
    <n v="121.6029968"/>
    <n v="120.01499939999999"/>
    <n v="121.3669968"/>
    <x v="365"/>
  </r>
  <r>
    <x v="369"/>
    <x v="12"/>
    <x v="5"/>
    <x v="1"/>
    <s v="Q2"/>
    <n v="121.3725128"/>
    <n v="121.8125"/>
    <n v="122"/>
    <n v="119.8984985"/>
    <n v="120.50050349999999"/>
    <x v="366"/>
  </r>
  <r>
    <x v="370"/>
    <x v="13"/>
    <x v="5"/>
    <x v="1"/>
    <s v="Q2"/>
    <n v="121.8886414"/>
    <n v="122.3304977"/>
    <n v="122.4000015"/>
    <n v="121.064003"/>
    <n v="121.75"/>
    <x v="367"/>
  </r>
  <r>
    <x v="371"/>
    <x v="14"/>
    <x v="5"/>
    <x v="1"/>
    <s v="Q2"/>
    <n v="121.6858749"/>
    <n v="122.1269989"/>
    <n v="123.0954971"/>
    <n v="121.8345032"/>
    <n v="122.0934982"/>
    <x v="368"/>
  </r>
  <r>
    <x v="372"/>
    <x v="27"/>
    <x v="5"/>
    <x v="1"/>
    <s v="Q2"/>
    <n v="122.0575333"/>
    <n v="122.5"/>
    <n v="123.05549619999999"/>
    <n v="122.3000031"/>
    <n v="122.6999969"/>
    <x v="369"/>
  </r>
  <r>
    <x v="373"/>
    <x v="16"/>
    <x v="5"/>
    <x v="1"/>
    <s v="Q2"/>
    <n v="122.0660019"/>
    <n v="122.50849909999999"/>
    <n v="122.6330032"/>
    <n v="121.5650024"/>
    <n v="122"/>
    <x v="370"/>
  </r>
  <r>
    <x v="374"/>
    <x v="17"/>
    <x v="5"/>
    <x v="1"/>
    <s v="Q2"/>
    <n v="122.09339900000001"/>
    <n v="122.5360031"/>
    <n v="122.7850037"/>
    <n v="121.40550229999999"/>
    <n v="122.6784973"/>
    <x v="371"/>
  </r>
  <r>
    <x v="375"/>
    <x v="18"/>
    <x v="5"/>
    <x v="1"/>
    <s v="Q2"/>
    <n v="121.8308487"/>
    <n v="122.2724991"/>
    <n v="123.02100369999999"/>
    <n v="121.6910019"/>
    <n v="122.6705017"/>
    <x v="372"/>
  </r>
  <r>
    <x v="376"/>
    <x v="30"/>
    <x v="6"/>
    <x v="1"/>
    <s v="Q3"/>
    <n v="121.6485138"/>
    <n v="122.08950040000001"/>
    <n v="122.25700380000001"/>
    <n v="121.3544998"/>
    <n v="121.99449920000001"/>
    <x v="373"/>
  </r>
  <r>
    <x v="377"/>
    <x v="29"/>
    <x v="6"/>
    <x v="1"/>
    <s v="Q3"/>
    <n v="122.0022354"/>
    <n v="122.44450380000001"/>
    <n v="122.58699799999999"/>
    <n v="121.5315018"/>
    <n v="121.7249985"/>
    <x v="374"/>
  </r>
  <r>
    <x v="378"/>
    <x v="1"/>
    <x v="6"/>
    <x v="1"/>
    <s v="Q3"/>
    <n v="124.80507660000001"/>
    <n v="125.2574997"/>
    <n v="125.4039993"/>
    <n v="123.0595016"/>
    <n v="123.1500015"/>
    <x v="375"/>
  </r>
  <r>
    <x v="379"/>
    <x v="2"/>
    <x v="6"/>
    <x v="1"/>
    <s v="Q3"/>
    <n v="125.7342072"/>
    <n v="126.1900024"/>
    <n v="126.4280014"/>
    <n v="124.5824966"/>
    <n v="125.6484985"/>
    <x v="376"/>
  </r>
  <r>
    <x v="380"/>
    <x v="3"/>
    <x v="6"/>
    <x v="1"/>
    <s v="Q3"/>
    <n v="126.01717379999999"/>
    <n v="126.47399900000001"/>
    <n v="127.28399659999999"/>
    <n v="126.1529999"/>
    <n v="127.16200259999999"/>
    <x v="377"/>
  </r>
  <r>
    <x v="381"/>
    <x v="4"/>
    <x v="6"/>
    <x v="1"/>
    <s v="Q3"/>
    <n v="124.59234619999999"/>
    <n v="125.0439987"/>
    <n v="125.5954971"/>
    <n v="124.0220032"/>
    <n v="124.02600099999999"/>
    <x v="378"/>
  </r>
  <r>
    <x v="382"/>
    <x v="23"/>
    <x v="6"/>
    <x v="1"/>
    <s v="Q3"/>
    <n v="125.0651245"/>
    <n v="125.5185013"/>
    <n v="125.7344971"/>
    <n v="124.5514984"/>
    <n v="125.0250015"/>
    <x v="379"/>
  </r>
  <r>
    <x v="383"/>
    <x v="6"/>
    <x v="6"/>
    <x v="1"/>
    <s v="Q3"/>
    <n v="126.5168686"/>
    <n v="126.97550200000001"/>
    <n v="127.06950380000001"/>
    <n v="125.6110001"/>
    <n v="126.1780014"/>
    <x v="380"/>
  </r>
  <r>
    <x v="384"/>
    <x v="7"/>
    <x v="6"/>
    <x v="1"/>
    <s v="Q3"/>
    <n v="126.881546"/>
    <n v="127.3414993"/>
    <n v="128.05749510000001"/>
    <n v="126.6744995"/>
    <n v="127.0384979"/>
    <x v="381"/>
  </r>
  <r>
    <x v="385"/>
    <x v="8"/>
    <x v="6"/>
    <x v="1"/>
    <s v="Q3"/>
    <n v="127.7738037"/>
    <n v="128.2369995"/>
    <n v="129.32650760000001"/>
    <n v="127.9144974"/>
    <n v="127.9580002"/>
    <x v="382"/>
  </r>
  <r>
    <x v="386"/>
    <x v="9"/>
    <x v="6"/>
    <x v="1"/>
    <s v="Q3"/>
    <n v="126.546257"/>
    <n v="127.0049973"/>
    <n v="128.6999969"/>
    <n v="126.5299988"/>
    <n v="128.64900209999999"/>
    <x v="383"/>
  </r>
  <r>
    <x v="387"/>
    <x v="25"/>
    <x v="6"/>
    <x v="1"/>
    <s v="Q3"/>
    <n v="126.51139070000001"/>
    <n v="126.9700012"/>
    <n v="127.81150049999999"/>
    <n v="126.15350340000001"/>
    <n v="127.66300200000001"/>
    <x v="384"/>
  </r>
  <r>
    <x v="388"/>
    <x v="26"/>
    <x v="6"/>
    <x v="1"/>
    <s v="Q3"/>
    <n v="124.12802120000001"/>
    <n v="124.5780029"/>
    <n v="126.20500180000001"/>
    <n v="123.5049973"/>
    <n v="126.08950040000001"/>
    <x v="385"/>
  </r>
  <r>
    <x v="389"/>
    <x v="11"/>
    <x v="6"/>
    <x v="1"/>
    <s v="Q3"/>
    <n v="125.75363919999999"/>
    <n v="126.2095032"/>
    <n v="127.04299930000001"/>
    <n v="124.35050200000001"/>
    <n v="125.5274963"/>
    <x v="386"/>
  </r>
  <r>
    <x v="390"/>
    <x v="12"/>
    <x v="6"/>
    <x v="1"/>
    <s v="Q3"/>
    <n v="127.08830260000001"/>
    <n v="127.54900360000001"/>
    <n v="127.5960007"/>
    <n v="126.0234985"/>
    <n v="126.13349909999999"/>
    <x v="387"/>
  </r>
  <r>
    <x v="391"/>
    <x v="13"/>
    <x v="6"/>
    <x v="1"/>
    <s v="Q3"/>
    <n v="127.957634"/>
    <n v="128.4214935"/>
    <n v="128.48300169999999"/>
    <n v="127.49900049999999"/>
    <n v="127.8440018"/>
    <x v="388"/>
  </r>
  <r>
    <x v="392"/>
    <x v="28"/>
    <x v="6"/>
    <x v="1"/>
    <s v="Q3"/>
    <n v="132.53454590000001"/>
    <n v="133.01499939999999"/>
    <n v="133.39900209999999"/>
    <n v="129.80050660000001"/>
    <n v="130.43049619999999"/>
    <x v="389"/>
  </r>
  <r>
    <x v="393"/>
    <x v="15"/>
    <x v="6"/>
    <x v="1"/>
    <s v="Q3"/>
    <n v="133.55087280000001"/>
    <n v="134.0350037"/>
    <n v="134.2369995"/>
    <n v="132.30149840000001"/>
    <n v="133.3285065"/>
    <x v="390"/>
  </r>
  <r>
    <x v="394"/>
    <x v="16"/>
    <x v="6"/>
    <x v="1"/>
    <s v="Q3"/>
    <n v="131.4235687"/>
    <n v="131.8999939"/>
    <n v="134.39900209999999"/>
    <n v="130.10400390000001"/>
    <n v="134.25050350000001"/>
    <x v="391"/>
  </r>
  <r>
    <x v="395"/>
    <x v="17"/>
    <x v="6"/>
    <x v="1"/>
    <s v="Q3"/>
    <n v="135.6024323"/>
    <n v="136.0939941"/>
    <n v="138.2969971"/>
    <n v="135.2774963"/>
    <n v="136.31199649999999"/>
    <x v="392"/>
  </r>
  <r>
    <x v="396"/>
    <x v="18"/>
    <x v="6"/>
    <x v="1"/>
    <s v="Q3"/>
    <n v="135.28707890000001"/>
    <n v="135.7774963"/>
    <n v="136.66099550000001"/>
    <n v="135.54299929999999"/>
    <n v="136.1499939"/>
    <x v="393"/>
  </r>
  <r>
    <x v="397"/>
    <x v="29"/>
    <x v="7"/>
    <x v="1"/>
    <s v="Q3"/>
    <n v="134.23986819999999"/>
    <n v="134.72650150000001"/>
    <n v="135.30450440000001"/>
    <n v="134.25500489999999"/>
    <n v="135.0350037"/>
    <x v="394"/>
  </r>
  <r>
    <x v="398"/>
    <x v="0"/>
    <x v="7"/>
    <x v="1"/>
    <s v="Q3"/>
    <n v="134.3674316"/>
    <n v="134.85450739999999"/>
    <n v="135.33650209999999"/>
    <n v="133.79400630000001"/>
    <n v="135.11700440000001"/>
    <x v="395"/>
  </r>
  <r>
    <x v="399"/>
    <x v="20"/>
    <x v="7"/>
    <x v="1"/>
    <s v="Q3"/>
    <n v="135.14010619999999"/>
    <n v="135.63000489999999"/>
    <n v="135.73199460000001"/>
    <n v="133.31950380000001"/>
    <n v="135.1349945"/>
    <x v="396"/>
  </r>
  <r>
    <x v="400"/>
    <x v="21"/>
    <x v="7"/>
    <x v="1"/>
    <s v="Q3"/>
    <n v="134.63742070000001"/>
    <n v="135.12550350000001"/>
    <n v="135.6495056"/>
    <n v="134.4869995"/>
    <n v="135.34950259999999"/>
    <x v="397"/>
  </r>
  <r>
    <x v="401"/>
    <x v="1"/>
    <x v="7"/>
    <x v="1"/>
    <s v="Q3"/>
    <n v="135.7593536"/>
    <n v="136.25149540000001"/>
    <n v="136.3500061"/>
    <n v="134.84599299999999"/>
    <n v="135.68049619999999"/>
    <x v="398"/>
  </r>
  <r>
    <x v="402"/>
    <x v="4"/>
    <x v="7"/>
    <x v="1"/>
    <s v="Q3"/>
    <n v="135.2481995"/>
    <n v="135.73849490000001"/>
    <n v="136.4725037"/>
    <n v="135.21000670000001"/>
    <n v="136.04200739999999"/>
    <x v="399"/>
  </r>
  <r>
    <x v="403"/>
    <x v="5"/>
    <x v="7"/>
    <x v="1"/>
    <s v="Q3"/>
    <n v="136.41845699999999"/>
    <n v="136.9129944"/>
    <n v="137.1840057"/>
    <n v="135.33949279999999"/>
    <n v="135.94250489999999"/>
    <x v="400"/>
  </r>
  <r>
    <x v="404"/>
    <x v="22"/>
    <x v="7"/>
    <x v="1"/>
    <s v="Q3"/>
    <n v="136.31285099999999"/>
    <n v="136.80700680000001"/>
    <n v="137.77250670000001"/>
    <n v="136.36450199999999"/>
    <n v="137.34199520000001"/>
    <x v="401"/>
  </r>
  <r>
    <x v="405"/>
    <x v="23"/>
    <x v="7"/>
    <x v="1"/>
    <s v="Q3"/>
    <n v="135.7867737"/>
    <n v="136.27900700000001"/>
    <n v="137.68249510000001"/>
    <n v="136.2714996"/>
    <n v="137.1815033"/>
    <x v="402"/>
  </r>
  <r>
    <x v="406"/>
    <x v="6"/>
    <x v="7"/>
    <x v="1"/>
    <s v="Q3"/>
    <n v="136.6984558"/>
    <n v="137.1940002"/>
    <n v="137.3000031"/>
    <n v="135.42550660000001"/>
    <n v="135.9754944"/>
    <x v="403"/>
  </r>
  <r>
    <x v="407"/>
    <x v="9"/>
    <x v="7"/>
    <x v="1"/>
    <s v="Q3"/>
    <n v="137.23001099999999"/>
    <n v="137.72749329999999"/>
    <n v="137.85650630000001"/>
    <n v="137.03300479999999"/>
    <n v="137.25"/>
    <x v="404"/>
  </r>
  <r>
    <x v="408"/>
    <x v="10"/>
    <x v="7"/>
    <x v="1"/>
    <s v="Q3"/>
    <n v="137.80993649999999"/>
    <n v="138.309494"/>
    <n v="138.3625031"/>
    <n v="135.29899599999999"/>
    <n v="137.5249939"/>
    <x v="405"/>
  </r>
  <r>
    <x v="409"/>
    <x v="24"/>
    <x v="7"/>
    <x v="1"/>
    <s v="Q3"/>
    <n v="136.16787719999999"/>
    <n v="136.66149899999999"/>
    <n v="138.2655029"/>
    <n v="136.08200070000001"/>
    <n v="137.75"/>
    <x v="406"/>
  </r>
  <r>
    <x v="410"/>
    <x v="25"/>
    <x v="7"/>
    <x v="1"/>
    <s v="Q3"/>
    <n v="134.9597626"/>
    <n v="135.44900509999999"/>
    <n v="137.10450739999999"/>
    <n v="135.3215027"/>
    <n v="136.5"/>
    <x v="407"/>
  </r>
  <r>
    <x v="411"/>
    <x v="26"/>
    <x v="7"/>
    <x v="1"/>
    <s v="Q3"/>
    <n v="135.18992610000001"/>
    <n v="135.67999270000001"/>
    <n v="136.35249329999999"/>
    <n v="134.25"/>
    <n v="134.43550110000001"/>
    <x v="408"/>
  </r>
  <r>
    <x v="412"/>
    <x v="13"/>
    <x v="7"/>
    <x v="1"/>
    <s v="Q3"/>
    <n v="136.93312069999999"/>
    <n v="137.42950440000001"/>
    <n v="137.55400090000001"/>
    <n v="135.25"/>
    <n v="136"/>
    <x v="409"/>
  </r>
  <r>
    <x v="413"/>
    <x v="14"/>
    <x v="7"/>
    <x v="1"/>
    <s v="Q3"/>
    <n v="139.5356903"/>
    <n v="140.04150390000001"/>
    <n v="140.87449649999999"/>
    <n v="137.60749820000001"/>
    <n v="137.96949770000001"/>
    <x v="410"/>
  </r>
  <r>
    <x v="414"/>
    <x v="27"/>
    <x v="7"/>
    <x v="1"/>
    <s v="Q3"/>
    <n v="140.75126650000001"/>
    <n v="141.26150509999999"/>
    <n v="142.08000179999999"/>
    <n v="140.33850100000001"/>
    <n v="140.61149599999999"/>
    <x v="411"/>
  </r>
  <r>
    <x v="415"/>
    <x v="28"/>
    <x v="7"/>
    <x v="1"/>
    <s v="Q3"/>
    <n v="141.56581120000001"/>
    <n v="142.0789948"/>
    <n v="142.18949889999999"/>
    <n v="141.37600710000001"/>
    <n v="141.625"/>
    <x v="412"/>
  </r>
  <r>
    <x v="416"/>
    <x v="15"/>
    <x v="7"/>
    <x v="1"/>
    <s v="Q3"/>
    <n v="140.92962650000001"/>
    <n v="141.440506"/>
    <n v="142.41749569999999"/>
    <n v="141.35699460000001"/>
    <n v="141.75"/>
    <x v="413"/>
  </r>
  <r>
    <x v="417"/>
    <x v="18"/>
    <x v="7"/>
    <x v="1"/>
    <s v="Q3"/>
    <n v="143.48385619999999"/>
    <n v="144.00399780000001"/>
    <n v="144.5124969"/>
    <n v="141.496994"/>
    <n v="141.6524963"/>
    <x v="414"/>
  </r>
  <r>
    <x v="418"/>
    <x v="19"/>
    <x v="7"/>
    <x v="1"/>
    <s v="Q3"/>
    <n v="144.06823729999999"/>
    <n v="144.5904999"/>
    <n v="145.97050479999999"/>
    <n v="144.1629944"/>
    <n v="144.3999939"/>
    <x v="415"/>
  </r>
  <r>
    <x v="419"/>
    <x v="30"/>
    <x v="8"/>
    <x v="1"/>
    <s v="Q3"/>
    <n v="144.17485049999999"/>
    <n v="144.6974945"/>
    <n v="145.1714935"/>
    <n v="144.2810059"/>
    <n v="145.1470032"/>
    <x v="416"/>
  </r>
  <r>
    <x v="420"/>
    <x v="29"/>
    <x v="8"/>
    <x v="1"/>
    <s v="Q3"/>
    <n v="144.690979"/>
    <n v="145.2154999"/>
    <n v="146.25399780000001"/>
    <n v="144.88349909999999"/>
    <n v="145"/>
    <x v="417"/>
  </r>
  <r>
    <x v="421"/>
    <x v="0"/>
    <x v="8"/>
    <x v="1"/>
    <s v="Q3"/>
    <n v="142.76945499999999"/>
    <n v="143.28700259999999"/>
    <n v="145.51950070000001"/>
    <n v="143.1849976"/>
    <n v="145.21600340000001"/>
    <x v="418"/>
  </r>
  <r>
    <x v="422"/>
    <x v="2"/>
    <x v="8"/>
    <x v="1"/>
    <s v="Q3"/>
    <n v="143.2203217"/>
    <n v="143.73950199999999"/>
    <n v="144.15499879999999"/>
    <n v="142.40049740000001"/>
    <n v="143.08050539999999"/>
    <x v="419"/>
  </r>
  <r>
    <x v="423"/>
    <x v="3"/>
    <x v="8"/>
    <x v="1"/>
    <s v="Q3"/>
    <n v="143.7593689"/>
    <n v="144.28050229999999"/>
    <n v="144.5650024"/>
    <n v="143.6190033"/>
    <n v="143.8345032"/>
    <x v="420"/>
  </r>
  <r>
    <x v="424"/>
    <x v="4"/>
    <x v="8"/>
    <x v="1"/>
    <s v="Q3"/>
    <n v="143.1719818"/>
    <n v="143.6909943"/>
    <n v="144.3999939"/>
    <n v="143"/>
    <n v="144.1000061"/>
    <x v="421"/>
  </r>
  <r>
    <x v="425"/>
    <x v="5"/>
    <x v="8"/>
    <x v="1"/>
    <s v="Q3"/>
    <n v="143.02253719999999"/>
    <n v="143.5410004"/>
    <n v="144.31050110000001"/>
    <n v="143.1775055"/>
    <n v="143.8404999"/>
    <x v="422"/>
  </r>
  <r>
    <x v="426"/>
    <x v="6"/>
    <x v="8"/>
    <x v="1"/>
    <s v="Q3"/>
    <n v="140.36715699999999"/>
    <n v="140.87600710000001"/>
    <n v="144.7185059"/>
    <n v="140.73800660000001"/>
    <n v="144.2124939"/>
    <x v="423"/>
  </r>
  <r>
    <x v="427"/>
    <x v="7"/>
    <x v="8"/>
    <x v="1"/>
    <s v="Q3"/>
    <n v="141.8184052"/>
    <n v="142.33250430000001"/>
    <n v="142.9499969"/>
    <n v="141.25"/>
    <n v="141.94949339999999"/>
    <x v="424"/>
  </r>
  <r>
    <x v="428"/>
    <x v="8"/>
    <x v="8"/>
    <x v="1"/>
    <s v="Q3"/>
    <n v="142.02963260000001"/>
    <n v="142.54449460000001"/>
    <n v="143.36300660000001"/>
    <n v="141.75"/>
    <n v="142.99549870000001"/>
    <x v="425"/>
  </r>
  <r>
    <x v="429"/>
    <x v="9"/>
    <x v="8"/>
    <x v="1"/>
    <s v="Q3"/>
    <n v="143.9078217"/>
    <n v="144.42950440000001"/>
    <n v="144.4505005"/>
    <n v="141.3475037"/>
    <n v="142.7714996"/>
    <x v="426"/>
  </r>
  <r>
    <x v="430"/>
    <x v="10"/>
    <x v="8"/>
    <x v="1"/>
    <s v="Q3"/>
    <n v="143.09127810000001"/>
    <n v="143.61000060000001"/>
    <n v="144.3000031"/>
    <n v="142.40150449999999"/>
    <n v="143.9505005"/>
    <x v="427"/>
  </r>
  <r>
    <x v="431"/>
    <x v="26"/>
    <x v="8"/>
    <x v="1"/>
    <s v="Q3"/>
    <n v="140.29144289999999"/>
    <n v="140.8000031"/>
    <n v="143.4499969"/>
    <n v="140.47000120000001"/>
    <n v="143.03050229999999"/>
    <x v="428"/>
  </r>
  <r>
    <x v="432"/>
    <x v="11"/>
    <x v="8"/>
    <x v="1"/>
    <s v="Q3"/>
    <n v="138.21844479999999"/>
    <n v="138.71949770000001"/>
    <n v="139"/>
    <n v="136.3220062"/>
    <n v="138.16149899999999"/>
    <x v="429"/>
  </r>
  <r>
    <x v="433"/>
    <x v="12"/>
    <x v="8"/>
    <x v="1"/>
    <s v="Q3"/>
    <n v="138.53080750000001"/>
    <n v="139.03300479999999"/>
    <n v="140.01150509999999"/>
    <n v="138.2779999"/>
    <n v="139.74949649999999"/>
    <x v="430"/>
  </r>
  <r>
    <x v="434"/>
    <x v="13"/>
    <x v="8"/>
    <x v="1"/>
    <s v="Q3"/>
    <n v="139.7767944"/>
    <n v="140.28349299999999"/>
    <n v="140.88699339999999"/>
    <n v="138.55149840000001"/>
    <n v="139.30400090000001"/>
    <x v="431"/>
  </r>
  <r>
    <x v="435"/>
    <x v="14"/>
    <x v="8"/>
    <x v="1"/>
    <s v="Q3"/>
    <n v="140.70593260000001"/>
    <n v="141.21600340000001"/>
    <n v="141.6965027"/>
    <n v="140.40150449999999"/>
    <n v="140.9875031"/>
    <x v="432"/>
  </r>
  <r>
    <x v="436"/>
    <x v="15"/>
    <x v="8"/>
    <x v="1"/>
    <s v="Q3"/>
    <n v="141.7013245"/>
    <n v="142.2149963"/>
    <n v="142.33050539999999"/>
    <n v="140.2409973"/>
    <n v="140.53849790000001"/>
    <x v="433"/>
  </r>
  <r>
    <x v="437"/>
    <x v="16"/>
    <x v="8"/>
    <x v="1"/>
    <s v="Q3"/>
    <n v="140.56245419999999"/>
    <n v="141.0720062"/>
    <n v="141.93850710000001"/>
    <n v="140.06750489999999"/>
    <n v="140.80450440000001"/>
    <x v="434"/>
  </r>
  <r>
    <x v="438"/>
    <x v="17"/>
    <x v="8"/>
    <x v="1"/>
    <s v="Q3"/>
    <n v="135.33938599999999"/>
    <n v="135.83000179999999"/>
    <n v="139.09649659999999"/>
    <n v="135.36000060000001"/>
    <n v="138.65499879999999"/>
    <x v="435"/>
  </r>
  <r>
    <x v="439"/>
    <x v="18"/>
    <x v="8"/>
    <x v="1"/>
    <s v="Q3"/>
    <n v="133.86820979999999"/>
    <n v="134.3535004"/>
    <n v="137.15100100000001"/>
    <n v="133.8650055"/>
    <n v="136.97999569999999"/>
    <x v="436"/>
  </r>
  <r>
    <x v="440"/>
    <x v="30"/>
    <x v="9"/>
    <x v="1"/>
    <s v="Q4"/>
    <n v="133.193161"/>
    <n v="133.67599490000001"/>
    <n v="135.54249569999999"/>
    <n v="133.5559998"/>
    <n v="134.26150509999999"/>
    <x v="437"/>
  </r>
  <r>
    <x v="441"/>
    <x v="20"/>
    <x v="9"/>
    <x v="1"/>
    <s v="Q4"/>
    <n v="136.04980470000001"/>
    <n v="136.54299929999999"/>
    <n v="136.91050720000001"/>
    <n v="134.07299800000001"/>
    <n v="134.4474945"/>
    <x v="438"/>
  </r>
  <r>
    <x v="442"/>
    <x v="21"/>
    <x v="9"/>
    <x v="1"/>
    <s v="Q4"/>
    <n v="133.17671200000001"/>
    <n v="133.6595001"/>
    <n v="135.96049500000001"/>
    <n v="131.0500031"/>
    <n v="135.96049500000001"/>
    <x v="439"/>
  </r>
  <r>
    <x v="443"/>
    <x v="1"/>
    <x v="9"/>
    <x v="1"/>
    <s v="Q4"/>
    <n v="135.53167719999999"/>
    <n v="136.02299500000001"/>
    <n v="137.22450259999999"/>
    <n v="134.0410004"/>
    <n v="134.0410004"/>
    <x v="440"/>
  </r>
  <r>
    <x v="444"/>
    <x v="2"/>
    <x v="9"/>
    <x v="1"/>
    <s v="Q4"/>
    <n v="137.06809999999999"/>
    <n v="137.5650024"/>
    <n v="137.75"/>
    <n v="134.5500031"/>
    <n v="134.75"/>
    <x v="441"/>
  </r>
  <r>
    <x v="445"/>
    <x v="3"/>
    <x v="9"/>
    <x v="1"/>
    <s v="Q4"/>
    <n v="138.7221222"/>
    <n v="139.2250061"/>
    <n v="140.04200739999999"/>
    <n v="138.65100100000001"/>
    <n v="138.89199830000001"/>
    <x v="442"/>
  </r>
  <r>
    <x v="446"/>
    <x v="22"/>
    <x v="9"/>
    <x v="1"/>
    <s v="Q4"/>
    <n v="139.28060909999999"/>
    <n v="139.78550720000001"/>
    <n v="140.33099369999999"/>
    <n v="139.21749879999999"/>
    <n v="139.57699579999999"/>
    <x v="443"/>
  </r>
  <r>
    <x v="447"/>
    <x v="23"/>
    <x v="9"/>
    <x v="1"/>
    <s v="Q4"/>
    <n v="138.4122314"/>
    <n v="138.91400150000001"/>
    <n v="140.7120056"/>
    <n v="138.8589935"/>
    <n v="139.29200739999999"/>
    <x v="444"/>
  </r>
  <r>
    <x v="448"/>
    <x v="6"/>
    <x v="9"/>
    <x v="1"/>
    <s v="Q4"/>
    <n v="135.95614620000001"/>
    <n v="136.44900509999999"/>
    <n v="139.50700380000001"/>
    <n v="135.7599945"/>
    <n v="139.47999569999999"/>
    <x v="445"/>
  </r>
  <r>
    <x v="449"/>
    <x v="7"/>
    <x v="9"/>
    <x v="1"/>
    <s v="Q4"/>
    <n v="137.08505249999999"/>
    <n v="137.58200070000001"/>
    <n v="138"/>
    <n v="136.5189972"/>
    <n v="137.4024963"/>
    <x v="446"/>
  </r>
  <r>
    <x v="450"/>
    <x v="8"/>
    <x v="9"/>
    <x v="1"/>
    <s v="Q4"/>
    <n v="140.64115910000001"/>
    <n v="141.15100100000001"/>
    <n v="141.3374939"/>
    <n v="138.8249969"/>
    <n v="139.47399899999999"/>
    <x v="447"/>
  </r>
  <r>
    <x v="451"/>
    <x v="24"/>
    <x v="9"/>
    <x v="1"/>
    <s v="Q4"/>
    <n v="140.85737610000001"/>
    <n v="141.36799619999999"/>
    <n v="141.71800229999999"/>
    <n v="140.75500489999999"/>
    <n v="141.61450199999999"/>
    <x v="448"/>
  </r>
  <r>
    <x v="452"/>
    <x v="25"/>
    <x v="9"/>
    <x v="1"/>
    <s v="Q4"/>
    <n v="142.26228330000001"/>
    <n v="142.7779999"/>
    <n v="142.7960052"/>
    <n v="141.06950380000001"/>
    <n v="141.07650760000001"/>
    <x v="449"/>
  </r>
  <r>
    <x v="453"/>
    <x v="26"/>
    <x v="9"/>
    <x v="1"/>
    <s v="Q4"/>
    <n v="142.7196198"/>
    <n v="143.2369995"/>
    <n v="143.6625061"/>
    <n v="142.6000061"/>
    <n v="143.3874969"/>
    <x v="450"/>
  </r>
  <r>
    <x v="454"/>
    <x v="11"/>
    <x v="9"/>
    <x v="1"/>
    <s v="Q4"/>
    <n v="141.25692749999999"/>
    <n v="141.7689972"/>
    <n v="143.5460052"/>
    <n v="141.37649540000001"/>
    <n v="143.33799740000001"/>
    <x v="451"/>
  </r>
  <r>
    <x v="455"/>
    <x v="12"/>
    <x v="9"/>
    <x v="1"/>
    <s v="Q4"/>
    <n v="141.37351989999999"/>
    <n v="141.88600159999999"/>
    <n v="142.1560059"/>
    <n v="140.5"/>
    <n v="141.7689972"/>
    <x v="452"/>
  </r>
  <r>
    <x v="456"/>
    <x v="27"/>
    <x v="9"/>
    <x v="1"/>
    <s v="Q4"/>
    <n v="137.0695953"/>
    <n v="137.56649780000001"/>
    <n v="140.58299260000001"/>
    <n v="136.0559998"/>
    <n v="139.1499939"/>
    <x v="453"/>
  </r>
  <r>
    <x v="457"/>
    <x v="28"/>
    <x v="9"/>
    <x v="1"/>
    <s v="Q4"/>
    <n v="136.95054630000001"/>
    <n v="137.4470062"/>
    <n v="138"/>
    <n v="135.42399599999999"/>
    <n v="137.5500031"/>
    <x v="454"/>
  </r>
  <r>
    <x v="458"/>
    <x v="15"/>
    <x v="9"/>
    <x v="1"/>
    <s v="Q4"/>
    <n v="138.80532840000001"/>
    <n v="139.30850219999999"/>
    <n v="140.08299260000001"/>
    <n v="138.30450440000001"/>
    <n v="139.26350400000001"/>
    <x v="455"/>
  </r>
  <r>
    <x v="459"/>
    <x v="16"/>
    <x v="9"/>
    <x v="1"/>
    <s v="Q4"/>
    <n v="145.68936160000001"/>
    <n v="146.21749879999999"/>
    <n v="148.6499939"/>
    <n v="139.40499879999999"/>
    <n v="139.40499879999999"/>
    <x v="456"/>
  </r>
  <r>
    <x v="460"/>
    <x v="17"/>
    <x v="9"/>
    <x v="1"/>
    <s v="Q4"/>
    <n v="145.32220459999999"/>
    <n v="145.84899899999999"/>
    <n v="147.15800479999999"/>
    <n v="144.62699889999999"/>
    <n v="147.1345062"/>
    <x v="457"/>
  </r>
  <r>
    <x v="461"/>
    <x v="30"/>
    <x v="10"/>
    <x v="1"/>
    <s v="Q4"/>
    <n v="147.51126099999999"/>
    <n v="148.0460052"/>
    <n v="148.24200440000001"/>
    <n v="144.6495056"/>
    <n v="145.0780029"/>
    <x v="458"/>
  </r>
  <r>
    <x v="462"/>
    <x v="29"/>
    <x v="10"/>
    <x v="1"/>
    <s v="Q4"/>
    <n v="142.97868349999999"/>
    <n v="143.496994"/>
    <n v="148.0460052"/>
    <n v="143.2254944"/>
    <n v="148.0460052"/>
    <x v="459"/>
  </r>
  <r>
    <x v="463"/>
    <x v="0"/>
    <x v="10"/>
    <x v="1"/>
    <s v="Q4"/>
    <n v="144.907196"/>
    <n v="145.43249510000001"/>
    <n v="146.6089935"/>
    <n v="144.33549500000001"/>
    <n v="144.57949830000001"/>
    <x v="460"/>
  </r>
  <r>
    <x v="464"/>
    <x v="20"/>
    <x v="10"/>
    <x v="1"/>
    <s v="Q4"/>
    <n v="146.0684967"/>
    <n v="146.59800720000001"/>
    <n v="146.66900630000001"/>
    <n v="144.59100340000001"/>
    <n v="145.90049740000001"/>
    <x v="461"/>
  </r>
  <r>
    <x v="465"/>
    <x v="21"/>
    <x v="10"/>
    <x v="1"/>
    <s v="Q4"/>
    <n v="147.73194889999999"/>
    <n v="148.26750179999999"/>
    <n v="149.7335052"/>
    <n v="146.30799870000001"/>
    <n v="147.12449649999999"/>
    <x v="462"/>
  </r>
  <r>
    <x v="466"/>
    <x v="3"/>
    <x v="10"/>
    <x v="1"/>
    <s v="Q4"/>
    <n v="148.31436160000001"/>
    <n v="148.85200499999999"/>
    <n v="150.32749939999999"/>
    <n v="148.1970062"/>
    <n v="149.16949460000001"/>
    <x v="463"/>
  </r>
  <r>
    <x v="467"/>
    <x v="4"/>
    <x v="10"/>
    <x v="1"/>
    <s v="Q4"/>
    <n v="148.49270630000001"/>
    <n v="149.0310059"/>
    <n v="150.6150055"/>
    <n v="148.43049619999999"/>
    <n v="149.8249969"/>
    <x v="464"/>
  </r>
  <r>
    <x v="468"/>
    <x v="5"/>
    <x v="10"/>
    <x v="1"/>
    <s v="Q4"/>
    <n v="148.3806305"/>
    <n v="148.9185028"/>
    <n v="149.8345032"/>
    <n v="147.24499510000001"/>
    <n v="149.23300169999999"/>
    <x v="465"/>
  </r>
  <r>
    <x v="469"/>
    <x v="22"/>
    <x v="10"/>
    <x v="1"/>
    <s v="Q4"/>
    <n v="145.36653140000001"/>
    <n v="145.89349369999999"/>
    <n v="148.07000729999999"/>
    <n v="144.5375061"/>
    <n v="147.5"/>
    <x v="466"/>
  </r>
  <r>
    <x v="470"/>
    <x v="23"/>
    <x v="10"/>
    <x v="1"/>
    <s v="Q4"/>
    <n v="145.23999019999999"/>
    <n v="145.7664948"/>
    <n v="147.53550720000001"/>
    <n v="145.6004944"/>
    <n v="146.48950199999999"/>
    <x v="467"/>
  </r>
  <r>
    <x v="471"/>
    <x v="8"/>
    <x v="10"/>
    <x v="1"/>
    <s v="Q4"/>
    <n v="148.14097599999999"/>
    <n v="148.6779938"/>
    <n v="148.8500061"/>
    <n v="145.41099550000001"/>
    <n v="146.6154938"/>
    <x v="468"/>
  </r>
  <r>
    <x v="472"/>
    <x v="9"/>
    <x v="10"/>
    <x v="1"/>
    <s v="Q4"/>
    <n v="147.91578670000001"/>
    <n v="148.45199579999999"/>
    <n v="149.5494995"/>
    <n v="147.5749969"/>
    <n v="148.90049740000001"/>
    <x v="469"/>
  </r>
  <r>
    <x v="473"/>
    <x v="10"/>
    <x v="10"/>
    <x v="1"/>
    <s v="Q4"/>
    <n v="147.34188839999999"/>
    <n v="147.87600710000001"/>
    <n v="148.7624969"/>
    <n v="147.3125"/>
    <n v="148.1495056"/>
    <x v="470"/>
  </r>
  <r>
    <x v="474"/>
    <x v="24"/>
    <x v="10"/>
    <x v="1"/>
    <s v="Q4"/>
    <n v="147.5122528"/>
    <n v="148.0469971"/>
    <n v="148.559494"/>
    <n v="147.2400055"/>
    <n v="148.0274963"/>
    <x v="471"/>
  </r>
  <r>
    <x v="475"/>
    <x v="25"/>
    <x v="10"/>
    <x v="1"/>
    <s v="Q4"/>
    <n v="149.29730219999999"/>
    <n v="149.83850100000001"/>
    <n v="150.58050539999999"/>
    <n v="147.8845062"/>
    <n v="148.24150090000001"/>
    <x v="472"/>
  </r>
  <r>
    <x v="476"/>
    <x v="12"/>
    <x v="10"/>
    <x v="1"/>
    <s v="Q4"/>
    <n v="148.3885803"/>
    <n v="148.92649840000001"/>
    <n v="150.96650700000001"/>
    <n v="148.89900209999999"/>
    <n v="149.9754944"/>
    <x v="473"/>
  </r>
  <r>
    <x v="477"/>
    <x v="13"/>
    <x v="10"/>
    <x v="1"/>
    <s v="Q4"/>
    <n v="145.77357480000001"/>
    <n v="146.30200199999999"/>
    <n v="149.82949830000001"/>
    <n v="146.14750670000001"/>
    <n v="149.33250430000001"/>
    <x v="474"/>
  </r>
  <r>
    <x v="478"/>
    <x v="14"/>
    <x v="10"/>
    <x v="1"/>
    <s v="Q4"/>
    <n v="145.25544740000001"/>
    <n v="145.78199770000001"/>
    <n v="146.6600037"/>
    <n v="144.1150055"/>
    <n v="146.1529999"/>
    <x v="475"/>
  </r>
  <r>
    <x v="479"/>
    <x v="28"/>
    <x v="10"/>
    <x v="1"/>
    <s v="Q4"/>
    <n v="145.5922089"/>
    <n v="146.11999510000001"/>
    <n v="146.24949649999999"/>
    <n v="144.37300110000001"/>
    <n v="145.47349550000001"/>
    <x v="476"/>
  </r>
  <r>
    <x v="480"/>
    <x v="17"/>
    <x v="10"/>
    <x v="1"/>
    <s v="Q4"/>
    <n v="141.66943359999999"/>
    <n v="142.18299870000001"/>
    <n v="144.55749510000001"/>
    <n v="141.84249879999999"/>
    <n v="144.34849550000001"/>
    <x v="477"/>
  </r>
  <r>
    <x v="481"/>
    <x v="18"/>
    <x v="10"/>
    <x v="1"/>
    <s v="Q4"/>
    <n v="145.00483700000001"/>
    <n v="145.53050229999999"/>
    <n v="146.29750060000001"/>
    <n v="143.89349369999999"/>
    <n v="144"/>
    <x v="478"/>
  </r>
  <r>
    <x v="482"/>
    <x v="30"/>
    <x v="11"/>
    <x v="1"/>
    <s v="Q4"/>
    <n v="141.3849792"/>
    <n v="141.89750670000001"/>
    <n v="146"/>
    <n v="141.60150150000001"/>
    <n v="145.00849909999999"/>
    <x v="479"/>
  </r>
  <r>
    <x v="483"/>
    <x v="29"/>
    <x v="11"/>
    <x v="1"/>
    <s v="Q4"/>
    <n v="140.54202269999999"/>
    <n v="141.05149840000001"/>
    <n v="145.9505005"/>
    <n v="140.91200259999999"/>
    <n v="144"/>
    <x v="480"/>
  </r>
  <r>
    <x v="484"/>
    <x v="0"/>
    <x v="11"/>
    <x v="1"/>
    <s v="Q4"/>
    <n v="142.44961549999999"/>
    <n v="142.96600340000001"/>
    <n v="143.86450199999999"/>
    <n v="140.21449279999999"/>
    <n v="141.25"/>
    <x v="481"/>
  </r>
  <r>
    <x v="485"/>
    <x v="1"/>
    <x v="11"/>
    <x v="1"/>
    <s v="Q4"/>
    <n v="141.4886017"/>
    <n v="142.00149540000001"/>
    <n v="144.3999939"/>
    <n v="140.30099490000001"/>
    <n v="143.6809998"/>
    <x v="482"/>
  </r>
  <r>
    <x v="486"/>
    <x v="2"/>
    <x v="11"/>
    <x v="1"/>
    <s v="Q4"/>
    <n v="142.63792419999999"/>
    <n v="143.15499879999999"/>
    <n v="143.85249329999999"/>
    <n v="140.1499939"/>
    <n v="143.0404968"/>
    <x v="483"/>
  </r>
  <r>
    <x v="487"/>
    <x v="3"/>
    <x v="11"/>
    <x v="1"/>
    <s v="Q4"/>
    <n v="146.73756409999999"/>
    <n v="147.26950070000001"/>
    <n v="147.5310059"/>
    <n v="145.22749329999999"/>
    <n v="145.59649659999999"/>
    <x v="484"/>
  </r>
  <r>
    <x v="488"/>
    <x v="4"/>
    <x v="11"/>
    <x v="1"/>
    <s v="Q4"/>
    <n v="147.65124510000001"/>
    <n v="148.18649289999999"/>
    <n v="148.39300539999999"/>
    <n v="146.4060059"/>
    <n v="147.59649659999999"/>
    <x v="485"/>
  </r>
  <r>
    <x v="489"/>
    <x v="5"/>
    <x v="11"/>
    <x v="1"/>
    <s v="Q4"/>
    <n v="147.10523989999999"/>
    <n v="147.63850400000001"/>
    <n v="149.1000061"/>
    <n v="147.1150055"/>
    <n v="147.59100340000001"/>
    <x v="486"/>
  </r>
  <r>
    <x v="490"/>
    <x v="6"/>
    <x v="11"/>
    <x v="1"/>
    <s v="Q4"/>
    <n v="147.46690369999999"/>
    <n v="148.00149540000001"/>
    <n v="148.97749329999999"/>
    <n v="146.7039948"/>
    <n v="148.6999969"/>
    <x v="355"/>
  </r>
  <r>
    <x v="491"/>
    <x v="7"/>
    <x v="11"/>
    <x v="1"/>
    <s v="Q4"/>
    <n v="145.29978940000001"/>
    <n v="145.82650760000001"/>
    <n v="147.97000120000001"/>
    <n v="145.51750179999999"/>
    <n v="147.7814941"/>
    <x v="487"/>
  </r>
  <r>
    <x v="492"/>
    <x v="8"/>
    <x v="11"/>
    <x v="1"/>
    <s v="Q4"/>
    <n v="143.38720699999999"/>
    <n v="143.90699770000001"/>
    <n v="144.47999569999999"/>
    <n v="141.2149963"/>
    <n v="143.96800229999999"/>
    <x v="488"/>
  </r>
  <r>
    <x v="493"/>
    <x v="9"/>
    <x v="11"/>
    <x v="1"/>
    <s v="Q4"/>
    <n v="145.91204830000001"/>
    <n v="146.4409943"/>
    <n v="146.72099299999999"/>
    <n v="141.6779938"/>
    <n v="143.40899659999999"/>
    <x v="489"/>
  </r>
  <r>
    <x v="494"/>
    <x v="10"/>
    <x v="11"/>
    <x v="1"/>
    <s v="Q4"/>
    <n v="143.92327879999999"/>
    <n v="144.44500729999999"/>
    <n v="147.67700199999999"/>
    <n v="143.60699460000001"/>
    <n v="147.17050169999999"/>
    <x v="490"/>
  </r>
  <r>
    <x v="495"/>
    <x v="26"/>
    <x v="11"/>
    <x v="1"/>
    <s v="Q4"/>
    <n v="141.2131042"/>
    <n v="141.7250061"/>
    <n v="143.8345032"/>
    <n v="141.3000031"/>
    <n v="142.5"/>
    <x v="491"/>
  </r>
  <r>
    <x v="496"/>
    <x v="11"/>
    <x v="11"/>
    <x v="1"/>
    <s v="Q4"/>
    <n v="141.09550479999999"/>
    <n v="141.60699460000001"/>
    <n v="141.7745056"/>
    <n v="139.32099909999999"/>
    <n v="140"/>
    <x v="492"/>
  </r>
  <r>
    <x v="497"/>
    <x v="12"/>
    <x v="11"/>
    <x v="1"/>
    <s v="Q4"/>
    <n v="142.95428469999999"/>
    <n v="143.4725037"/>
    <n v="143.8690033"/>
    <n v="140.5025024"/>
    <n v="142.0534973"/>
    <x v="493"/>
  </r>
  <r>
    <x v="498"/>
    <x v="13"/>
    <x v="11"/>
    <x v="1"/>
    <s v="Q4"/>
    <n v="145.88613889999999"/>
    <n v="146.41499329999999"/>
    <n v="146.5"/>
    <n v="143.06750489999999"/>
    <n v="143.06750489999999"/>
    <x v="494"/>
  </r>
  <r>
    <x v="499"/>
    <x v="15"/>
    <x v="11"/>
    <x v="1"/>
    <s v="Q4"/>
    <n v="146.38584900000001"/>
    <n v="146.91650390000001"/>
    <n v="148.2434998"/>
    <n v="146.45199579999999"/>
    <n v="146.5"/>
    <x v="495"/>
  </r>
  <r>
    <x v="500"/>
    <x v="16"/>
    <x v="11"/>
    <x v="1"/>
    <s v="Q4"/>
    <n v="147.37225340000001"/>
    <n v="147.9064941"/>
    <n v="148.3439941"/>
    <n v="147.16949460000001"/>
    <n v="147.2559967"/>
    <x v="496"/>
  </r>
  <r>
    <x v="501"/>
    <x v="17"/>
    <x v="11"/>
    <x v="1"/>
    <s v="Q4"/>
    <n v="146.15716549999999"/>
    <n v="146.68699649999999"/>
    <n v="148.29899599999999"/>
    <n v="146.05450440000001"/>
    <n v="148.23599239999999"/>
    <x v="497"/>
  </r>
  <r>
    <x v="502"/>
    <x v="18"/>
    <x v="11"/>
    <x v="1"/>
    <s v="Q4"/>
    <n v="146.12527470000001"/>
    <n v="146.65499879999999"/>
    <n v="147.41700739999999"/>
    <n v="145.64750670000001"/>
    <n v="146.64450070000001"/>
    <x v="498"/>
  </r>
  <r>
    <x v="503"/>
    <x v="19"/>
    <x v="11"/>
    <x v="1"/>
    <s v="Q4"/>
    <n v="145.67242429999999"/>
    <n v="146.2005005"/>
    <n v="147.3000031"/>
    <n v="145.99450680000001"/>
    <n v="146.6940002"/>
    <x v="499"/>
  </r>
  <r>
    <x v="504"/>
    <x v="0"/>
    <x v="0"/>
    <x v="2"/>
    <s v="Q1"/>
    <n v="144.32879639999999"/>
    <n v="144.85200499999999"/>
    <n v="146.69850159999999"/>
    <n v="144.85200499999999"/>
    <n v="146.0500031"/>
    <x v="500"/>
  </r>
  <r>
    <x v="505"/>
    <x v="20"/>
    <x v="0"/>
    <x v="2"/>
    <s v="Q1"/>
    <n v="144.4677887"/>
    <n v="144.99150090000001"/>
    <n v="145.85099790000001"/>
    <n v="143.71299740000001"/>
    <n v="145.05499270000001"/>
    <x v="501"/>
  </r>
  <r>
    <x v="506"/>
    <x v="21"/>
    <x v="0"/>
    <x v="2"/>
    <s v="Q1"/>
    <n v="143.87794489999999"/>
    <n v="144.3995056"/>
    <n v="146.48500060000001"/>
    <n v="143.71650700000001"/>
    <n v="145.39599609999999"/>
    <x v="502"/>
  </r>
  <r>
    <x v="507"/>
    <x v="1"/>
    <x v="0"/>
    <x v="2"/>
    <s v="Q1"/>
    <n v="137.27735899999999"/>
    <n v="137.7749939"/>
    <n v="144.49949649999999"/>
    <n v="137.68800350000001"/>
    <n v="144.41999820000001"/>
    <x v="503"/>
  </r>
  <r>
    <x v="508"/>
    <x v="2"/>
    <x v="0"/>
    <x v="2"/>
    <s v="Q1"/>
    <n v="137.24996949999999"/>
    <n v="137.7474976"/>
    <n v="139.9400024"/>
    <n v="136.55850219999999"/>
    <n v="136.99850459999999"/>
    <x v="504"/>
  </r>
  <r>
    <x v="509"/>
    <x v="5"/>
    <x v="0"/>
    <x v="2"/>
    <s v="Q1"/>
    <n v="136.5220947"/>
    <n v="137.01699830000001"/>
    <n v="138.44850159999999"/>
    <n v="135.7664948"/>
    <n v="138.14549260000001"/>
    <x v="505"/>
  </r>
  <r>
    <x v="510"/>
    <x v="22"/>
    <x v="0"/>
    <x v="2"/>
    <s v="Q1"/>
    <n v="138.1686401"/>
    <n v="138.66949460000001"/>
    <n v="138.81950380000001"/>
    <n v="133.16450499999999"/>
    <n v="135.0780029"/>
    <x v="506"/>
  </r>
  <r>
    <x v="511"/>
    <x v="23"/>
    <x v="0"/>
    <x v="2"/>
    <s v="Q1"/>
    <n v="139.2312775"/>
    <n v="139.73599239999999"/>
    <n v="140.21600340000001"/>
    <n v="136.69250489999999"/>
    <n v="138.00700380000001"/>
    <x v="507"/>
  </r>
  <r>
    <x v="512"/>
    <x v="6"/>
    <x v="0"/>
    <x v="2"/>
    <s v="Q1"/>
    <n v="140.91964719999999"/>
    <n v="141.43049619999999"/>
    <n v="142.60800169999999"/>
    <n v="140.69450380000001"/>
    <n v="141.1499939"/>
    <x v="508"/>
  </r>
  <r>
    <x v="513"/>
    <x v="7"/>
    <x v="0"/>
    <x v="2"/>
    <s v="Q1"/>
    <n v="138.08644100000001"/>
    <n v="138.5870056"/>
    <n v="142.8500061"/>
    <n v="138.40899659999999"/>
    <n v="141.53999329999999"/>
    <x v="509"/>
  </r>
  <r>
    <x v="514"/>
    <x v="24"/>
    <x v="0"/>
    <x v="2"/>
    <s v="Q1"/>
    <n v="138.97669980000001"/>
    <n v="139.48049929999999"/>
    <n v="140.74200440000001"/>
    <n v="136.99850459999999"/>
    <n v="137.0789948"/>
    <x v="510"/>
  </r>
  <r>
    <x v="515"/>
    <x v="25"/>
    <x v="0"/>
    <x v="2"/>
    <s v="Q1"/>
    <n v="135.50677490000001"/>
    <n v="135.99800110000001"/>
    <n v="137.1315002"/>
    <n v="135.43850710000001"/>
    <n v="136.1750031"/>
    <x v="511"/>
  </r>
  <r>
    <x v="516"/>
    <x v="26"/>
    <x v="0"/>
    <x v="2"/>
    <s v="Q1"/>
    <n v="134.6284637"/>
    <n v="135.11650090000001"/>
    <n v="137.9595032"/>
    <n v="135.0155029"/>
    <n v="136.52349849999999"/>
    <x v="512"/>
  </r>
  <r>
    <x v="517"/>
    <x v="11"/>
    <x v="0"/>
    <x v="2"/>
    <s v="Q1"/>
    <n v="132.8259888"/>
    <n v="133.30749510000001"/>
    <n v="137.62600710000001"/>
    <n v="132.96449279999999"/>
    <n v="136.25"/>
    <x v="513"/>
  </r>
  <r>
    <x v="518"/>
    <x v="14"/>
    <x v="0"/>
    <x v="2"/>
    <s v="Q1"/>
    <n v="129.8806763"/>
    <n v="130.35150150000001"/>
    <n v="134.8654938"/>
    <n v="130.08650209999999"/>
    <n v="132.5935059"/>
    <x v="514"/>
  </r>
  <r>
    <x v="519"/>
    <x v="27"/>
    <x v="0"/>
    <x v="2"/>
    <s v="Q1"/>
    <n v="130.33154300000001"/>
    <n v="130.80400090000001"/>
    <n v="131.2030029"/>
    <n v="124.5"/>
    <n v="125.9779968"/>
    <x v="515"/>
  </r>
  <r>
    <x v="520"/>
    <x v="28"/>
    <x v="0"/>
    <x v="2"/>
    <s v="Q1"/>
    <n v="126.4765091"/>
    <n v="126.9349976"/>
    <n v="129.39900209999999"/>
    <n v="126.50050349999999"/>
    <n v="128.7400055"/>
    <x v="516"/>
  </r>
  <r>
    <x v="521"/>
    <x v="15"/>
    <x v="0"/>
    <x v="2"/>
    <s v="Q1"/>
    <n v="128.7662048"/>
    <n v="129.23300169999999"/>
    <n v="133"/>
    <n v="127.1419983"/>
    <n v="131.1190033"/>
    <x v="517"/>
  </r>
  <r>
    <x v="522"/>
    <x v="16"/>
    <x v="0"/>
    <x v="2"/>
    <s v="Q1"/>
    <n v="128.5390472"/>
    <n v="129.00500489999999"/>
    <n v="132.6524963"/>
    <n v="128.93249510000001"/>
    <n v="131.30400090000001"/>
    <x v="518"/>
  </r>
  <r>
    <x v="523"/>
    <x v="19"/>
    <x v="0"/>
    <x v="2"/>
    <s v="Q1"/>
    <n v="132.869339"/>
    <n v="133.35099790000001"/>
    <n v="133.35650630000001"/>
    <n v="128.48500060000001"/>
    <n v="129.65899659999999"/>
    <x v="519"/>
  </r>
  <r>
    <x v="524"/>
    <x v="30"/>
    <x v="1"/>
    <x v="2"/>
    <s v="Q1"/>
    <n v="134.8147888"/>
    <n v="135.3034973"/>
    <n v="135.47300720000001"/>
    <n v="132.2095032"/>
    <n v="134.16200259999999"/>
    <x v="520"/>
  </r>
  <r>
    <x v="525"/>
    <x v="29"/>
    <x v="1"/>
    <x v="2"/>
    <s v="Q1"/>
    <n v="137.14682010000001"/>
    <n v="137.6439972"/>
    <n v="137.79299929999999"/>
    <n v="134.3684998"/>
    <n v="137.59449770000001"/>
    <x v="521"/>
  </r>
  <r>
    <x v="526"/>
    <x v="0"/>
    <x v="1"/>
    <x v="2"/>
    <s v="Q1"/>
    <n v="147.46542360000001"/>
    <n v="148"/>
    <n v="151.5464935"/>
    <n v="145.52250670000001"/>
    <n v="151.25"/>
    <x v="522"/>
  </r>
  <r>
    <x v="527"/>
    <x v="20"/>
    <x v="1"/>
    <x v="2"/>
    <s v="Q1"/>
    <n v="142.57315059999999"/>
    <n v="143.0899963"/>
    <n v="149.6750031"/>
    <n v="142.6654968"/>
    <n v="145.70550539999999"/>
    <x v="523"/>
  </r>
  <r>
    <x v="528"/>
    <x v="2"/>
    <x v="1"/>
    <x v="2"/>
    <s v="Q1"/>
    <n v="142.77543639999999"/>
    <n v="143.29299929999999"/>
    <n v="144.875"/>
    <n v="140.51499939999999"/>
    <n v="143.44450380000001"/>
    <x v="524"/>
  </r>
  <r>
    <x v="529"/>
    <x v="3"/>
    <x v="1"/>
    <x v="2"/>
    <s v="Q1"/>
    <n v="138.69822690000001"/>
    <n v="139.20100400000001"/>
    <n v="144.25"/>
    <n v="138.8999939"/>
    <n v="144.25"/>
    <x v="525"/>
  </r>
  <r>
    <x v="530"/>
    <x v="4"/>
    <x v="1"/>
    <x v="2"/>
    <s v="Q1"/>
    <n v="138.89549260000001"/>
    <n v="139.39900209999999"/>
    <n v="140"/>
    <n v="137.01400760000001"/>
    <n v="139.02650449999999"/>
    <x v="526"/>
  </r>
  <r>
    <x v="531"/>
    <x v="5"/>
    <x v="1"/>
    <x v="2"/>
    <s v="Q1"/>
    <n v="141.08056640000001"/>
    <n v="141.59199520000001"/>
    <n v="142.5245056"/>
    <n v="140.18699649999999"/>
    <n v="140.96350100000001"/>
    <x v="527"/>
  </r>
  <r>
    <x v="532"/>
    <x v="22"/>
    <x v="1"/>
    <x v="2"/>
    <s v="Q1"/>
    <n v="138.11929319999999"/>
    <n v="138.61999510000001"/>
    <n v="141.4844971"/>
    <n v="137.95700070000001"/>
    <n v="139.7035065"/>
    <x v="528"/>
  </r>
  <r>
    <x v="533"/>
    <x v="7"/>
    <x v="1"/>
    <x v="2"/>
    <s v="Q1"/>
    <n v="133.7974701"/>
    <n v="134.28250120000001"/>
    <n v="139.1564941"/>
    <n v="133.3999939"/>
    <n v="138.6000061"/>
    <x v="529"/>
  </r>
  <r>
    <x v="534"/>
    <x v="8"/>
    <x v="1"/>
    <x v="2"/>
    <s v="Q1"/>
    <n v="135.03646850000001"/>
    <n v="135.52600100000001"/>
    <n v="136.3000031"/>
    <n v="133.2565002"/>
    <n v="133.2565002"/>
    <x v="530"/>
  </r>
  <r>
    <x v="535"/>
    <x v="9"/>
    <x v="1"/>
    <x v="2"/>
    <s v="Q1"/>
    <n v="136.11506650000001"/>
    <n v="136.6085052"/>
    <n v="138.1085052"/>
    <n v="135.8215027"/>
    <n v="137.57049559999999"/>
    <x v="531"/>
  </r>
  <r>
    <x v="536"/>
    <x v="10"/>
    <x v="1"/>
    <x v="2"/>
    <s v="Q1"/>
    <n v="137.24047849999999"/>
    <n v="137.73800660000001"/>
    <n v="138.08599849999999"/>
    <n v="134.92399599999999"/>
    <n v="136.6464996"/>
    <x v="532"/>
  </r>
  <r>
    <x v="537"/>
    <x v="24"/>
    <x v="1"/>
    <x v="2"/>
    <s v="Q1"/>
    <n v="132.06025700000001"/>
    <n v="132.53900150000001"/>
    <n v="137.11349490000001"/>
    <n v="132.4785004"/>
    <n v="136.24299619999999"/>
    <x v="533"/>
  </r>
  <r>
    <x v="538"/>
    <x v="12"/>
    <x v="1"/>
    <x v="2"/>
    <s v="Q1"/>
    <n v="129.9319916"/>
    <n v="130.4029999"/>
    <n v="134.07000729999999"/>
    <n v="130.1965027"/>
    <n v="133.46699520000001"/>
    <x v="534"/>
  </r>
  <r>
    <x v="539"/>
    <x v="13"/>
    <x v="1"/>
    <x v="2"/>
    <s v="Q1"/>
    <n v="129.3446198"/>
    <n v="129.81350710000001"/>
    <n v="132.18049619999999"/>
    <n v="128.22349550000001"/>
    <n v="129.83799740000001"/>
    <x v="535"/>
  </r>
  <r>
    <x v="540"/>
    <x v="14"/>
    <x v="1"/>
    <x v="2"/>
    <s v="Q1"/>
    <n v="127.1271515"/>
    <n v="127.58799740000001"/>
    <n v="132.05099490000001"/>
    <n v="127.5274963"/>
    <n v="131.64849849999999"/>
    <x v="536"/>
  </r>
  <r>
    <x v="541"/>
    <x v="27"/>
    <x v="1"/>
    <x v="2"/>
    <s v="Q1"/>
    <n v="132.21171570000001"/>
    <n v="132.6909943"/>
    <n v="133"/>
    <n v="124.95349880000001"/>
    <n v="124.95349880000001"/>
    <x v="537"/>
  </r>
  <r>
    <x v="542"/>
    <x v="16"/>
    <x v="1"/>
    <x v="2"/>
    <s v="Q1"/>
    <n v="133.97383120000001"/>
    <n v="134.4595032"/>
    <n v="135.2714996"/>
    <n v="131.75149540000001"/>
    <n v="133.55200199999999"/>
    <x v="538"/>
  </r>
  <r>
    <x v="543"/>
    <x v="30"/>
    <x v="2"/>
    <x v="2"/>
    <s v="Q1"/>
    <n v="134.56918329999999"/>
    <n v="135.05700680000001"/>
    <n v="135.75149540000001"/>
    <n v="132.59249879999999"/>
    <n v="133.0500031"/>
    <x v="539"/>
  </r>
  <r>
    <x v="544"/>
    <x v="29"/>
    <x v="2"/>
    <x v="2"/>
    <s v="Q1"/>
    <n v="133.5772552"/>
    <n v="134.06149289999999"/>
    <n v="136.25549319999999"/>
    <n v="133.2185059"/>
    <n v="134.8784943"/>
    <x v="540"/>
  </r>
  <r>
    <x v="545"/>
    <x v="0"/>
    <x v="2"/>
    <x v="2"/>
    <s v="Q1"/>
    <n v="134.08543399999999"/>
    <n v="134.5715027"/>
    <n v="135.2624969"/>
    <n v="133.0715027"/>
    <n v="134.628006"/>
    <x v="541"/>
  </r>
  <r>
    <x v="546"/>
    <x v="20"/>
    <x v="2"/>
    <x v="2"/>
    <s v="Q1"/>
    <n v="133.41584779999999"/>
    <n v="133.8995056"/>
    <n v="136.43949889999999"/>
    <n v="133.02549740000001"/>
    <n v="136.0099945"/>
    <x v="542"/>
  </r>
  <r>
    <x v="547"/>
    <x v="2"/>
    <x v="2"/>
    <x v="2"/>
    <s v="Q1"/>
    <n v="131.43003849999999"/>
    <n v="131.9064941"/>
    <n v="133.85150150000001"/>
    <n v="130.3374939"/>
    <n v="132.9275055"/>
    <x v="543"/>
  </r>
  <r>
    <x v="548"/>
    <x v="3"/>
    <x v="2"/>
    <x v="2"/>
    <s v="Q1"/>
    <n v="125.92202760000001"/>
    <n v="126.3785019"/>
    <n v="131.73500060000001"/>
    <n v="126.29499819999999"/>
    <n v="131.48800660000001"/>
    <x v="544"/>
  </r>
  <r>
    <x v="549"/>
    <x v="4"/>
    <x v="2"/>
    <x v="2"/>
    <s v="Q1"/>
    <n v="126.64540100000001"/>
    <n v="127.1044998"/>
    <n v="131.25"/>
    <n v="125.6744995"/>
    <n v="126.25"/>
    <x v="545"/>
  </r>
  <r>
    <x v="550"/>
    <x v="5"/>
    <x v="2"/>
    <x v="2"/>
    <s v="Q1"/>
    <n v="132.9380798"/>
    <n v="133.41999820000001"/>
    <n v="133.73550420000001"/>
    <n v="129.90049740000001"/>
    <n v="131.25"/>
    <x v="546"/>
  </r>
  <r>
    <x v="551"/>
    <x v="22"/>
    <x v="2"/>
    <x v="2"/>
    <s v="Q1"/>
    <n v="131.95117189999999"/>
    <n v="132.42950440000001"/>
    <n v="133.2720032"/>
    <n v="130.9125061"/>
    <n v="131.2660065"/>
    <x v="547"/>
  </r>
  <r>
    <x v="552"/>
    <x v="7"/>
    <x v="2"/>
    <x v="2"/>
    <s v="Q1"/>
    <n v="129.40141299999999"/>
    <n v="129.87049870000001"/>
    <n v="133.79550169999999"/>
    <n v="129.6315002"/>
    <n v="133.48849490000001"/>
    <x v="548"/>
  </r>
  <r>
    <x v="553"/>
    <x v="8"/>
    <x v="2"/>
    <x v="2"/>
    <s v="Q1"/>
    <n v="125.49606319999999"/>
    <n v="125.95099639999999"/>
    <n v="130.40899659999999"/>
    <n v="125.2750015"/>
    <n v="130.25"/>
    <x v="549"/>
  </r>
  <r>
    <x v="554"/>
    <x v="9"/>
    <x v="2"/>
    <x v="2"/>
    <s v="Q1"/>
    <n v="128.73132319999999"/>
    <n v="129.19799800000001"/>
    <n v="129.85450739999999"/>
    <n v="125.7204971"/>
    <n v="126.9759979"/>
    <x v="550"/>
  </r>
  <r>
    <x v="555"/>
    <x v="10"/>
    <x v="2"/>
    <x v="2"/>
    <s v="Q1"/>
    <n v="132.79908750000001"/>
    <n v="133.28050229999999"/>
    <n v="133.33299260000001"/>
    <n v="128.7344971"/>
    <n v="130.73300169999999"/>
    <x v="551"/>
  </r>
  <r>
    <x v="556"/>
    <x v="24"/>
    <x v="2"/>
    <x v="2"/>
    <s v="Q1"/>
    <n v="133.35559079999999"/>
    <n v="133.83900449999999"/>
    <n v="134.08050539999999"/>
    <n v="132.1849976"/>
    <n v="133.14900209999999"/>
    <x v="552"/>
  </r>
  <r>
    <x v="557"/>
    <x v="11"/>
    <x v="2"/>
    <x v="2"/>
    <s v="Q1"/>
    <n v="135.63380430000001"/>
    <n v="136.12550350000001"/>
    <n v="136.2440033"/>
    <n v="132.25849909999999"/>
    <n v="133.4244995"/>
    <x v="553"/>
  </r>
  <r>
    <x v="558"/>
    <x v="12"/>
    <x v="2"/>
    <x v="2"/>
    <s v="Q1"/>
    <n v="135.60989380000001"/>
    <n v="136.10150150000001"/>
    <n v="137.0500031"/>
    <n v="134.09249879999999"/>
    <n v="136.16349790000001"/>
    <x v="554"/>
  </r>
  <r>
    <x v="559"/>
    <x v="13"/>
    <x v="2"/>
    <x v="2"/>
    <s v="Q1"/>
    <n v="139.36280819999999"/>
    <n v="139.86799619999999"/>
    <n v="141.0500031"/>
    <n v="136.10150150000001"/>
    <n v="136.10150150000001"/>
    <x v="555"/>
  </r>
  <r>
    <x v="560"/>
    <x v="14"/>
    <x v="2"/>
    <x v="2"/>
    <s v="Q1"/>
    <n v="137.77604679999999"/>
    <n v="138.27549740000001"/>
    <n v="139.58850100000001"/>
    <n v="137.83500670000001"/>
    <n v="138.70249939999999"/>
    <x v="556"/>
  </r>
  <r>
    <x v="561"/>
    <x v="27"/>
    <x v="2"/>
    <x v="2"/>
    <s v="Q1"/>
    <n v="141.06065369999999"/>
    <n v="141.5720062"/>
    <n v="141.6190033"/>
    <n v="137.75050350000001"/>
    <n v="139.1999969"/>
    <x v="557"/>
  </r>
  <r>
    <x v="562"/>
    <x v="16"/>
    <x v="2"/>
    <x v="2"/>
    <s v="Q1"/>
    <n v="141.1612854"/>
    <n v="141.67300420000001"/>
    <n v="142.0350037"/>
    <n v="139.7375031"/>
    <n v="141.9160004"/>
    <x v="558"/>
  </r>
  <r>
    <x v="563"/>
    <x v="17"/>
    <x v="2"/>
    <x v="2"/>
    <s v="Q1"/>
    <n v="140.9445801"/>
    <n v="141.45550539999999"/>
    <n v="142.0025024"/>
    <n v="139.81149289999999"/>
    <n v="140.90049740000001"/>
    <x v="559"/>
  </r>
  <r>
    <x v="564"/>
    <x v="18"/>
    <x v="2"/>
    <x v="2"/>
    <s v="Q1"/>
    <n v="141.99076840000001"/>
    <n v="142.50549319999999"/>
    <n v="143.7935028"/>
    <n v="142.03849790000001"/>
    <n v="142.64750670000001"/>
    <x v="560"/>
  </r>
  <r>
    <x v="565"/>
    <x v="19"/>
    <x v="2"/>
    <x v="2"/>
    <s v="Q1"/>
    <n v="141.425827"/>
    <n v="141.93850710000001"/>
    <n v="142.72050479999999"/>
    <n v="141.6000061"/>
    <n v="142.46000670000001"/>
    <x v="561"/>
  </r>
  <r>
    <x v="566"/>
    <x v="30"/>
    <x v="3"/>
    <x v="2"/>
    <s v="Q2"/>
    <n v="138.56520080000001"/>
    <n v="139.06750489999999"/>
    <n v="142.10800169999999"/>
    <n v="139.0245056"/>
    <n v="142.0529938"/>
    <x v="562"/>
  </r>
  <r>
    <x v="567"/>
    <x v="20"/>
    <x v="3"/>
    <x v="2"/>
    <s v="Q2"/>
    <n v="139.64427190000001"/>
    <n v="140.15049740000001"/>
    <n v="140.47099299999999"/>
    <n v="138.30749510000001"/>
    <n v="139.5"/>
    <x v="563"/>
  </r>
  <r>
    <x v="568"/>
    <x v="21"/>
    <x v="3"/>
    <x v="2"/>
    <s v="Q2"/>
    <n v="142.45507810000001"/>
    <n v="142.97149659999999"/>
    <n v="143.7120056"/>
    <n v="140.31050110000001"/>
    <n v="140.3585052"/>
    <x v="563"/>
  </r>
  <r>
    <x v="569"/>
    <x v="1"/>
    <x v="3"/>
    <x v="2"/>
    <s v="Q2"/>
    <n v="140.08319090000001"/>
    <n v="140.59100340000001"/>
    <n v="142.9904938"/>
    <n v="140.38250729999999"/>
    <n v="142.8690033"/>
    <x v="564"/>
  </r>
  <r>
    <x v="570"/>
    <x v="2"/>
    <x v="3"/>
    <x v="2"/>
    <s v="Q2"/>
    <n v="136.0548096"/>
    <n v="136.54800420000001"/>
    <n v="139.36050420000001"/>
    <n v="135.51699830000001"/>
    <n v="138.75"/>
    <x v="565"/>
  </r>
  <r>
    <x v="571"/>
    <x v="3"/>
    <x v="3"/>
    <x v="2"/>
    <s v="Q2"/>
    <n v="135.39767459999999"/>
    <n v="135.88850400000001"/>
    <n v="137.16450499999999"/>
    <n v="134.22749329999999"/>
    <n v="136.0099945"/>
    <x v="566"/>
  </r>
  <r>
    <x v="572"/>
    <x v="22"/>
    <x v="3"/>
    <x v="2"/>
    <s v="Q2"/>
    <n v="132.80607599999999"/>
    <n v="133.2875061"/>
    <n v="135.66999820000001"/>
    <n v="132.9654999"/>
    <n v="135.58349609999999"/>
    <x v="567"/>
  </r>
  <r>
    <x v="573"/>
    <x v="23"/>
    <x v="3"/>
    <x v="2"/>
    <s v="Q2"/>
    <n v="128.3582001"/>
    <n v="128.82350159999999"/>
    <n v="132.09249879999999"/>
    <n v="128.6685028"/>
    <n v="131.82350159999999"/>
    <x v="568"/>
  </r>
  <r>
    <x v="574"/>
    <x v="6"/>
    <x v="3"/>
    <x v="2"/>
    <s v="Q2"/>
    <n v="127.2531967"/>
    <n v="127.71450040000001"/>
    <n v="131.6000061"/>
    <n v="126.7890015"/>
    <n v="131.6000061"/>
    <x v="569"/>
  </r>
  <r>
    <x v="575"/>
    <x v="7"/>
    <x v="3"/>
    <x v="2"/>
    <s v="Q2"/>
    <n v="129.42481989999999"/>
    <n v="129.8939972"/>
    <n v="130.3339996"/>
    <n v="127.7409973"/>
    <n v="128"/>
    <x v="570"/>
  </r>
  <r>
    <x v="576"/>
    <x v="24"/>
    <x v="3"/>
    <x v="2"/>
    <s v="Q2"/>
    <n v="126.2722626"/>
    <n v="126.7300034"/>
    <n v="130.47950739999999"/>
    <n v="126.6009979"/>
    <n v="130.47950739999999"/>
    <x v="571"/>
  </r>
  <r>
    <x v="577"/>
    <x v="25"/>
    <x v="3"/>
    <x v="2"/>
    <s v="Q2"/>
    <n v="127.2153397"/>
    <n v="127.6764984"/>
    <n v="128.2124939"/>
    <n v="126.18199920000001"/>
    <n v="127"/>
    <x v="572"/>
  </r>
  <r>
    <x v="578"/>
    <x v="26"/>
    <x v="3"/>
    <x v="2"/>
    <s v="Q2"/>
    <n v="129.53941349999999"/>
    <n v="130.0090027"/>
    <n v="130.33299260000001"/>
    <n v="126.99949650000001"/>
    <n v="127.69149779999999"/>
    <x v="573"/>
  </r>
  <r>
    <x v="579"/>
    <x v="11"/>
    <x v="3"/>
    <x v="2"/>
    <s v="Q2"/>
    <n v="127.5775146"/>
    <n v="128.03999329999999"/>
    <n v="131.39900209999999"/>
    <n v="127.5"/>
    <n v="130.89199830000001"/>
    <x v="574"/>
  </r>
  <r>
    <x v="580"/>
    <x v="12"/>
    <x v="3"/>
    <x v="2"/>
    <s v="Q2"/>
    <n v="124.3636703"/>
    <n v="124.8144989"/>
    <n v="130.09849550000001"/>
    <n v="124.5264969"/>
    <n v="129.25"/>
    <x v="575"/>
  </r>
  <r>
    <x v="581"/>
    <x v="27"/>
    <x v="3"/>
    <x v="2"/>
    <s v="Q2"/>
    <n v="119.2033768"/>
    <n v="119.635498"/>
    <n v="125.40200040000001"/>
    <n v="118.9250031"/>
    <n v="125"/>
    <x v="576"/>
  </r>
  <r>
    <x v="582"/>
    <x v="28"/>
    <x v="3"/>
    <x v="2"/>
    <s v="Q2"/>
    <n v="122.6294556"/>
    <n v="123.0739975"/>
    <n v="123.2774963"/>
    <n v="118.5110016"/>
    <n v="119.1009979"/>
    <x v="577"/>
  </r>
  <r>
    <x v="583"/>
    <x v="15"/>
    <x v="3"/>
    <x v="2"/>
    <s v="Q2"/>
    <n v="118.2214432"/>
    <n v="118.6500015"/>
    <n v="122.51000209999999"/>
    <n v="118.5110016"/>
    <n v="122.2945023"/>
    <x v="578"/>
  </r>
  <r>
    <x v="584"/>
    <x v="16"/>
    <x v="3"/>
    <x v="2"/>
    <s v="Q2"/>
    <n v="113.8816681"/>
    <n v="114.2945023"/>
    <n v="117.2419968"/>
    <n v="112.73650360000001"/>
    <n v="114.46949770000001"/>
    <x v="579"/>
  </r>
  <r>
    <x v="585"/>
    <x v="17"/>
    <x v="3"/>
    <x v="2"/>
    <s v="Q2"/>
    <n v="118.0943985"/>
    <n v="118.5224991"/>
    <n v="119.64949799999999"/>
    <n v="114.11499790000001"/>
    <n v="116.4150009"/>
    <x v="580"/>
  </r>
  <r>
    <x v="586"/>
    <x v="29"/>
    <x v="4"/>
    <x v="2"/>
    <s v="Q2"/>
    <n v="113.6973267"/>
    <n v="114.1094971"/>
    <n v="117.91999819999999"/>
    <n v="113.8144989"/>
    <n v="116.7344971"/>
    <x v="581"/>
  </r>
  <r>
    <x v="587"/>
    <x v="0"/>
    <x v="4"/>
    <x v="2"/>
    <s v="Q2"/>
    <n v="116.1619034"/>
    <n v="116.5830002"/>
    <n v="116.7454987"/>
    <n v="112.5999985"/>
    <n v="113.4049988"/>
    <x v="582"/>
  </r>
  <r>
    <x v="588"/>
    <x v="20"/>
    <x v="4"/>
    <x v="2"/>
    <s v="Q2"/>
    <n v="116.91018680000001"/>
    <n v="117.3339996"/>
    <n v="118.4420013"/>
    <n v="116.0345001"/>
    <n v="116.43049619999999"/>
    <x v="583"/>
  </r>
  <r>
    <x v="589"/>
    <x v="21"/>
    <x v="4"/>
    <x v="2"/>
    <s v="Q2"/>
    <n v="121.819397"/>
    <n v="122.2610016"/>
    <n v="122.8544998"/>
    <n v="115.1159973"/>
    <n v="117.0315018"/>
    <x v="584"/>
  </r>
  <r>
    <x v="590"/>
    <x v="1"/>
    <x v="4"/>
    <x v="2"/>
    <s v="Q2"/>
    <n v="116.0846863"/>
    <n v="116.50550079999999"/>
    <n v="121.0390015"/>
    <n v="115.00550079999999"/>
    <n v="120.20400239999999"/>
    <x v="585"/>
  </r>
  <r>
    <x v="591"/>
    <x v="4"/>
    <x v="4"/>
    <x v="2"/>
    <s v="Q2"/>
    <n v="115.3284225"/>
    <n v="115.7464981"/>
    <n v="117.5715027"/>
    <n v="114.0155029"/>
    <n v="115.1845016"/>
    <x v="586"/>
  </r>
  <r>
    <x v="592"/>
    <x v="5"/>
    <x v="4"/>
    <x v="2"/>
    <s v="Q2"/>
    <n v="112.10461429999999"/>
    <n v="112.5110016"/>
    <n v="115.0770035"/>
    <n v="112.00050349999999"/>
    <n v="113.25"/>
    <x v="587"/>
  </r>
  <r>
    <x v="593"/>
    <x v="22"/>
    <x v="4"/>
    <x v="2"/>
    <s v="Q2"/>
    <n v="113.9818039"/>
    <n v="114.3949966"/>
    <n v="116.25"/>
    <n v="112.90049740000001"/>
    <n v="115.5074997"/>
    <x v="588"/>
  </r>
  <r>
    <x v="594"/>
    <x v="23"/>
    <x v="4"/>
    <x v="2"/>
    <s v="Q2"/>
    <n v="113.19216160000001"/>
    <n v="113.6025009"/>
    <n v="116.364502"/>
    <n v="113.23650360000001"/>
    <n v="113.23650360000001"/>
    <x v="589"/>
  </r>
  <r>
    <x v="595"/>
    <x v="6"/>
    <x v="4"/>
    <x v="2"/>
    <s v="Q2"/>
    <n v="112.436409"/>
    <n v="112.8440018"/>
    <n v="114.29499819999999"/>
    <n v="109.824501"/>
    <n v="111.3775024"/>
    <x v="590"/>
  </r>
  <r>
    <x v="596"/>
    <x v="9"/>
    <x v="4"/>
    <x v="2"/>
    <s v="Q2"/>
    <n v="115.63133240000001"/>
    <n v="116.050499"/>
    <n v="117.875"/>
    <n v="113.6050034"/>
    <n v="114.5329971"/>
    <x v="591"/>
  </r>
  <r>
    <x v="597"/>
    <x v="10"/>
    <x v="4"/>
    <x v="2"/>
    <s v="Q2"/>
    <n v="114.03162380000001"/>
    <n v="114.4449997"/>
    <n v="116.16999819999999"/>
    <n v="113.8895035"/>
    <n v="114.9554977"/>
    <x v="592"/>
  </r>
  <r>
    <x v="598"/>
    <x v="24"/>
    <x v="4"/>
    <x v="2"/>
    <s v="Q2"/>
    <n v="116.0522995"/>
    <n v="116.47299959999999"/>
    <n v="116.9000015"/>
    <n v="114.8700027"/>
    <n v="116.8404999"/>
    <x v="593"/>
  </r>
  <r>
    <x v="599"/>
    <x v="25"/>
    <x v="4"/>
    <x v="2"/>
    <s v="Q2"/>
    <n v="111.4953232"/>
    <n v="111.89949799999999"/>
    <n v="115.4000015"/>
    <n v="111.55549619999999"/>
    <n v="115"/>
    <x v="594"/>
  </r>
  <r>
    <x v="600"/>
    <x v="26"/>
    <x v="4"/>
    <x v="2"/>
    <s v="Q2"/>
    <n v="109.9852982"/>
    <n v="110.3840027"/>
    <n v="113.01000209999999"/>
    <n v="110"/>
    <n v="111.4315033"/>
    <x v="595"/>
  </r>
  <r>
    <x v="601"/>
    <x v="13"/>
    <x v="4"/>
    <x v="2"/>
    <s v="Q2"/>
    <n v="108.51462549999999"/>
    <n v="108.9079971"/>
    <n v="112.18350220000001"/>
    <n v="105.79650119999999"/>
    <n v="111.95099639999999"/>
    <x v="596"/>
  </r>
  <r>
    <x v="602"/>
    <x v="14"/>
    <x v="4"/>
    <x v="2"/>
    <s v="Q2"/>
    <n v="111.0853043"/>
    <n v="111.487999"/>
    <n v="112.1474991"/>
    <n v="108.7409973"/>
    <n v="109.5875015"/>
    <x v="597"/>
  </r>
  <r>
    <x v="603"/>
    <x v="27"/>
    <x v="4"/>
    <x v="2"/>
    <s v="Q2"/>
    <n v="105.5872421"/>
    <n v="105.9700012"/>
    <n v="106.45850369999999"/>
    <n v="101.8844986"/>
    <n v="105.7720032"/>
    <x v="598"/>
  </r>
  <r>
    <x v="604"/>
    <x v="28"/>
    <x v="4"/>
    <x v="2"/>
    <s v="Q2"/>
    <n v="105.4228287"/>
    <n v="105.8050003"/>
    <n v="106.5"/>
    <n v="103.8564987"/>
    <n v="104.9854965"/>
    <x v="599"/>
  </r>
  <r>
    <x v="605"/>
    <x v="15"/>
    <x v="4"/>
    <x v="2"/>
    <s v="Q2"/>
    <n v="107.4031525"/>
    <n v="107.7925034"/>
    <n v="108.64949799999999"/>
    <n v="105.2249985"/>
    <n v="105.677002"/>
    <x v="600"/>
  </r>
  <r>
    <x v="606"/>
    <x v="19"/>
    <x v="4"/>
    <x v="2"/>
    <s v="Q2"/>
    <n v="111.9108047"/>
    <n v="112.31649779999999"/>
    <n v="112.31800079999999"/>
    <n v="109.13849639999999"/>
    <n v="109.4830017"/>
    <x v="601"/>
  </r>
  <r>
    <x v="607"/>
    <x v="30"/>
    <x v="5"/>
    <x v="2"/>
    <s v="Q2"/>
    <n v="113.3510971"/>
    <n v="113.762001"/>
    <n v="115.73500060000001"/>
    <n v="112.07849880000001"/>
    <n v="112.7464981"/>
    <x v="602"/>
  </r>
  <r>
    <x v="608"/>
    <x v="29"/>
    <x v="5"/>
    <x v="2"/>
    <s v="Q2"/>
    <n v="113.4806213"/>
    <n v="113.8919983"/>
    <n v="117.1015015"/>
    <n v="113.25"/>
    <n v="114.8550034"/>
    <x v="603"/>
  </r>
  <r>
    <x v="609"/>
    <x v="0"/>
    <x v="5"/>
    <x v="2"/>
    <s v="Q2"/>
    <n v="117.1976471"/>
    <n v="117.6224976"/>
    <n v="117.89949799999999"/>
    <n v="112.9465027"/>
    <n v="114"/>
    <x v="604"/>
  </r>
  <r>
    <x v="610"/>
    <x v="1"/>
    <x v="5"/>
    <x v="2"/>
    <s v="Q2"/>
    <n v="114.1272812"/>
    <n v="114.5410004"/>
    <n v="116.3215027"/>
    <n v="113.5185013"/>
    <n v="116.0625"/>
    <x v="605"/>
  </r>
  <r>
    <x v="611"/>
    <x v="2"/>
    <x v="5"/>
    <x v="2"/>
    <s v="Q2"/>
    <n v="116.3985443"/>
    <n v="116.8205032"/>
    <n v="119.3470001"/>
    <n v="116.1640015"/>
    <n v="116.7044983"/>
    <x v="606"/>
  </r>
  <r>
    <x v="612"/>
    <x v="3"/>
    <x v="5"/>
    <x v="2"/>
    <s v="Q2"/>
    <n v="116.72635649999999"/>
    <n v="117.14949799999999"/>
    <n v="117.6910019"/>
    <n v="115.052002"/>
    <n v="115.48049930000001"/>
    <x v="607"/>
  </r>
  <r>
    <x v="613"/>
    <x v="4"/>
    <x v="5"/>
    <x v="2"/>
    <s v="Q2"/>
    <n v="116.77069090000001"/>
    <n v="117.1940002"/>
    <n v="118.5705032"/>
    <n v="116.5999985"/>
    <n v="116.7614975"/>
    <x v="508"/>
  </r>
  <r>
    <x v="614"/>
    <x v="5"/>
    <x v="5"/>
    <x v="2"/>
    <s v="Q2"/>
    <n v="114.4207153"/>
    <n v="114.8355026"/>
    <n v="118.29900360000001"/>
    <n v="114.77600099999999"/>
    <n v="116.32749939999999"/>
    <x v="608"/>
  </r>
  <r>
    <x v="615"/>
    <x v="6"/>
    <x v="5"/>
    <x v="2"/>
    <s v="Q2"/>
    <n v="110.7599869"/>
    <n v="111.16149900000001"/>
    <n v="113.2789993"/>
    <n v="110.3659973"/>
    <n v="112.4449997"/>
    <x v="609"/>
  </r>
  <r>
    <x v="616"/>
    <x v="7"/>
    <x v="5"/>
    <x v="2"/>
    <s v="Q2"/>
    <n v="106.0082092"/>
    <n v="106.39250180000001"/>
    <n v="108.79149630000001"/>
    <n v="106.1190033"/>
    <n v="106.78649900000001"/>
    <x v="610"/>
  </r>
  <r>
    <x v="617"/>
    <x v="8"/>
    <x v="5"/>
    <x v="2"/>
    <s v="Q2"/>
    <n v="106.3300476"/>
    <n v="106.7154999"/>
    <n v="107.9244995"/>
    <n v="105.8000031"/>
    <n v="106.5350037"/>
    <x v="611"/>
  </r>
  <r>
    <x v="618"/>
    <x v="9"/>
    <x v="5"/>
    <x v="2"/>
    <s v="Q2"/>
    <n v="109.3680344"/>
    <n v="109.7645035"/>
    <n v="111.4235001"/>
    <n v="107.6695023"/>
    <n v="108.54499819999999"/>
    <x v="612"/>
  </r>
  <r>
    <x v="619"/>
    <x v="10"/>
    <x v="5"/>
    <x v="2"/>
    <s v="Q2"/>
    <n v="105.65051269999999"/>
    <n v="106.0335007"/>
    <n v="108.6484985"/>
    <n v="105.1380005"/>
    <n v="107.2210007"/>
    <x v="613"/>
  </r>
  <r>
    <x v="620"/>
    <x v="11"/>
    <x v="5"/>
    <x v="2"/>
    <s v="Q2"/>
    <n v="106.7565002"/>
    <n v="107.1435013"/>
    <n v="108.699501"/>
    <n v="105.04599760000001"/>
    <n v="106.0335007"/>
    <x v="614"/>
  </r>
  <r>
    <x v="621"/>
    <x v="12"/>
    <x v="5"/>
    <x v="2"/>
    <s v="Q2"/>
    <n v="111.1411057"/>
    <n v="111.5439987"/>
    <n v="112.489502"/>
    <n v="108.5999985"/>
    <n v="108.9294968"/>
    <x v="615"/>
  </r>
  <r>
    <x v="622"/>
    <x v="13"/>
    <x v="5"/>
    <x v="2"/>
    <s v="Q2"/>
    <n v="111.08480830000001"/>
    <n v="111.4875031"/>
    <n v="113.34649659999999"/>
    <n v="110.3824997"/>
    <n v="110.5565033"/>
    <x v="616"/>
  </r>
  <r>
    <x v="623"/>
    <x v="14"/>
    <x v="5"/>
    <x v="2"/>
    <s v="Q2"/>
    <n v="111.8365707"/>
    <n v="112.2419968"/>
    <n v="112.7425003"/>
    <n v="110.50050349999999"/>
    <n v="112.2314987"/>
    <x v="617"/>
  </r>
  <r>
    <x v="624"/>
    <x v="15"/>
    <x v="5"/>
    <x v="2"/>
    <s v="Q2"/>
    <n v="117.5488739"/>
    <n v="117.9749985"/>
    <n v="118.07900239999999"/>
    <n v="112.95249939999999"/>
    <n v="112.9950027"/>
    <x v="618"/>
  </r>
  <r>
    <x v="625"/>
    <x v="16"/>
    <x v="5"/>
    <x v="2"/>
    <s v="Q2"/>
    <n v="115.4151154"/>
    <n v="115.83350369999999"/>
    <n v="118.5794983"/>
    <n v="115.1794968"/>
    <n v="118.2730026"/>
    <x v="619"/>
  </r>
  <r>
    <x v="626"/>
    <x v="17"/>
    <x v="5"/>
    <x v="2"/>
    <s v="Q2"/>
    <n v="111.6029358"/>
    <n v="112.0074997"/>
    <n v="117.3095016"/>
    <n v="111.84799959999999"/>
    <n v="115.80249790000001"/>
    <x v="620"/>
  </r>
  <r>
    <x v="627"/>
    <x v="18"/>
    <x v="5"/>
    <x v="2"/>
    <s v="Q2"/>
    <n v="111.2980347"/>
    <n v="111.7014999"/>
    <n v="113.16049959999999"/>
    <n v="110.8724976"/>
    <n v="111.552002"/>
    <x v="621"/>
  </r>
  <r>
    <x v="628"/>
    <x v="30"/>
    <x v="6"/>
    <x v="2"/>
    <s v="Q3"/>
    <n v="108.5694199"/>
    <n v="108.96299740000001"/>
    <n v="110.8880005"/>
    <n v="106.75"/>
    <n v="110"/>
    <x v="622"/>
  </r>
  <r>
    <x v="629"/>
    <x v="21"/>
    <x v="6"/>
    <x v="2"/>
    <s v="Q3"/>
    <n v="108.34474179999999"/>
    <n v="108.7375031"/>
    <n v="109.25"/>
    <n v="106.73049930000001"/>
    <n v="107.9329987"/>
    <x v="623"/>
  </r>
  <r>
    <x v="630"/>
    <x v="1"/>
    <x v="6"/>
    <x v="2"/>
    <s v="Q3"/>
    <n v="112.85388949999999"/>
    <n v="113.2630005"/>
    <n v="113.3769989"/>
    <n v="105.7314987"/>
    <n v="107.10050200000001"/>
    <x v="624"/>
  </r>
  <r>
    <x v="631"/>
    <x v="2"/>
    <x v="6"/>
    <x v="2"/>
    <s v="Q3"/>
    <n v="114.158165"/>
    <n v="114.5719986"/>
    <n v="115.58950040000001"/>
    <n v="111.4759979"/>
    <n v="113.302002"/>
    <x v="625"/>
  </r>
  <r>
    <x v="632"/>
    <x v="3"/>
    <x v="6"/>
    <x v="2"/>
    <s v="Q3"/>
    <n v="118.3539581"/>
    <n v="118.7829971"/>
    <n v="119.1894989"/>
    <n v="114.83350369999999"/>
    <n v="115.08000180000001"/>
    <x v="626"/>
  </r>
  <r>
    <x v="633"/>
    <x v="22"/>
    <x v="6"/>
    <x v="2"/>
    <s v="Q3"/>
    <n v="118.92239379999999"/>
    <n v="119.3535004"/>
    <n v="119.6849976"/>
    <n v="116.9014969"/>
    <n v="117.25"/>
    <x v="627"/>
  </r>
  <r>
    <x v="634"/>
    <x v="23"/>
    <x v="6"/>
    <x v="2"/>
    <s v="Q3"/>
    <n v="115.2586823"/>
    <n v="115.6764984"/>
    <n v="117.9980011"/>
    <n v="115.3304977"/>
    <n v="117.9980011"/>
    <x v="628"/>
  </r>
  <r>
    <x v="635"/>
    <x v="6"/>
    <x v="6"/>
    <x v="2"/>
    <s v="Q3"/>
    <n v="113.6086655"/>
    <n v="114.0205002"/>
    <n v="116.97399900000001"/>
    <n v="113.6900024"/>
    <n v="116.2149963"/>
    <x v="629"/>
  </r>
  <r>
    <x v="636"/>
    <x v="7"/>
    <x v="6"/>
    <x v="2"/>
    <s v="Q3"/>
    <n v="110.95130159999999"/>
    <n v="111.3535004"/>
    <n v="114.19599909999999"/>
    <n v="111.2014999"/>
    <n v="111.70099639999999"/>
    <x v="630"/>
  </r>
  <r>
    <x v="637"/>
    <x v="8"/>
    <x v="6"/>
    <x v="2"/>
    <s v="Q3"/>
    <n v="109.9688568"/>
    <n v="110.3675003"/>
    <n v="111.09300229999999"/>
    <n v="108.3730011"/>
    <n v="110.2105026"/>
    <x v="631"/>
  </r>
  <r>
    <x v="638"/>
    <x v="24"/>
    <x v="6"/>
    <x v="2"/>
    <s v="Q3"/>
    <n v="111.3737564"/>
    <n v="111.7774963"/>
    <n v="113.1405029"/>
    <n v="110.9000015"/>
    <n v="112.00050349999999"/>
    <x v="632"/>
  </r>
  <r>
    <x v="639"/>
    <x v="25"/>
    <x v="6"/>
    <x v="2"/>
    <s v="Q3"/>
    <n v="108.6361847"/>
    <n v="109.0299988"/>
    <n v="113.6800003"/>
    <n v="108.3700027"/>
    <n v="112.63999939999999"/>
    <x v="633"/>
  </r>
  <r>
    <x v="640"/>
    <x v="26"/>
    <x v="6"/>
    <x v="2"/>
    <s v="Q3"/>
    <n v="113.3989105"/>
    <n v="113.8099976"/>
    <n v="114.0199966"/>
    <n v="109.5599976"/>
    <n v="110.8499985"/>
    <x v="634"/>
  </r>
  <r>
    <x v="641"/>
    <x v="11"/>
    <x v="6"/>
    <x v="2"/>
    <s v="Q3"/>
    <n v="113.4886017"/>
    <n v="113.9000015"/>
    <n v="115.4000015"/>
    <n v="112.4800034"/>
    <n v="113.16999819999999"/>
    <x v="635"/>
  </r>
  <r>
    <x v="642"/>
    <x v="12"/>
    <x v="6"/>
    <x v="2"/>
    <s v="Q3"/>
    <n v="113.927002"/>
    <n v="114.3399963"/>
    <n v="114.5500031"/>
    <n v="111.11000060000001"/>
    <n v="114.2799988"/>
    <x v="636"/>
  </r>
  <r>
    <x v="643"/>
    <x v="27"/>
    <x v="6"/>
    <x v="2"/>
    <s v="Q3"/>
    <n v="107.5102692"/>
    <n v="107.9000015"/>
    <n v="112.3399963"/>
    <n v="106.5"/>
    <n v="111"/>
    <x v="637"/>
  </r>
  <r>
    <x v="644"/>
    <x v="28"/>
    <x v="6"/>
    <x v="2"/>
    <s v="Q3"/>
    <n v="107.12167359999999"/>
    <n v="107.51000209999999"/>
    <n v="109.8700027"/>
    <n v="106.3000031"/>
    <n v="108.4100037"/>
    <x v="638"/>
  </r>
  <r>
    <x v="645"/>
    <x v="15"/>
    <x v="6"/>
    <x v="2"/>
    <s v="Q3"/>
    <n v="104.6406631"/>
    <n v="105.0199966"/>
    <n v="107.1999969"/>
    <n v="104.0699997"/>
    <n v="106.5999985"/>
    <x v="639"/>
  </r>
  <r>
    <x v="646"/>
    <x v="16"/>
    <x v="6"/>
    <x v="2"/>
    <s v="Q3"/>
    <n v="112.6516266"/>
    <n v="113.0599976"/>
    <n v="113.9100037"/>
    <n v="108.01000209999999"/>
    <n v="109.26000209999999"/>
    <x v="640"/>
  </r>
  <r>
    <x v="647"/>
    <x v="17"/>
    <x v="6"/>
    <x v="2"/>
    <s v="Q3"/>
    <n v="113.8074417"/>
    <n v="114.2200012"/>
    <n v="114.3399963"/>
    <n v="111.4599991"/>
    <n v="112.3700027"/>
    <x v="641"/>
  </r>
  <r>
    <x v="648"/>
    <x v="30"/>
    <x v="7"/>
    <x v="2"/>
    <s v="Q3"/>
    <n v="115.89985660000001"/>
    <n v="116.3199997"/>
    <n v="116.7099991"/>
    <n v="113.0599976"/>
    <n v="113.08000180000001"/>
    <x v="642"/>
  </r>
  <r>
    <x v="649"/>
    <x v="29"/>
    <x v="7"/>
    <x v="2"/>
    <s v="Q3"/>
    <n v="114.4451294"/>
    <n v="114.86000060000001"/>
    <n v="116.7200012"/>
    <n v="114.3399963"/>
    <n v="115.3000031"/>
    <x v="643"/>
  </r>
  <r>
    <x v="650"/>
    <x v="0"/>
    <x v="7"/>
    <x v="2"/>
    <s v="Q3"/>
    <n v="114.7141495"/>
    <n v="115.1299973"/>
    <n v="116.3499985"/>
    <n v="113.7200012"/>
    <n v="114"/>
    <x v="644"/>
  </r>
  <r>
    <x v="651"/>
    <x v="20"/>
    <x v="7"/>
    <x v="2"/>
    <s v="Q3"/>
    <n v="117.6534958"/>
    <n v="118.08000180000001"/>
    <n v="118.6200027"/>
    <n v="115.4800034"/>
    <n v="115.7099991"/>
    <x v="645"/>
  </r>
  <r>
    <x v="652"/>
    <x v="21"/>
    <x v="7"/>
    <x v="2"/>
    <s v="Q3"/>
    <n v="117.7630997"/>
    <n v="118.1900024"/>
    <n v="118.7799988"/>
    <n v="116.88999939999999"/>
    <n v="117.4800034"/>
    <x v="646"/>
  </r>
  <r>
    <x v="653"/>
    <x v="3"/>
    <x v="7"/>
    <x v="2"/>
    <s v="Q3"/>
    <n v="117.0457001"/>
    <n v="117.4700012"/>
    <n v="118.11000060000001"/>
    <n v="116"/>
    <n v="116.2300034"/>
    <x v="647"/>
  </r>
  <r>
    <x v="654"/>
    <x v="4"/>
    <x v="7"/>
    <x v="2"/>
    <s v="Q3"/>
    <n v="116.8763199"/>
    <n v="117.3000031"/>
    <n v="120.1500015"/>
    <n v="116.8799973"/>
    <n v="118.38999939999999"/>
    <x v="648"/>
  </r>
  <r>
    <x v="655"/>
    <x v="5"/>
    <x v="7"/>
    <x v="2"/>
    <s v="Q3"/>
    <n v="116.2087326"/>
    <n v="116.6299973"/>
    <n v="117.3199997"/>
    <n v="115.7099991"/>
    <n v="117.13999939999999"/>
    <x v="649"/>
  </r>
  <r>
    <x v="656"/>
    <x v="22"/>
    <x v="7"/>
    <x v="2"/>
    <s v="Q3"/>
    <n v="119.2676392"/>
    <n v="119.6999969"/>
    <n v="120.91999819999999"/>
    <n v="118.4100037"/>
    <n v="118.7799988"/>
    <x v="650"/>
  </r>
  <r>
    <x v="657"/>
    <x v="23"/>
    <x v="7"/>
    <x v="2"/>
    <s v="Q3"/>
    <n v="118.4107437"/>
    <n v="118.8399963"/>
    <n v="121.48999790000001"/>
    <n v="118.5599976"/>
    <n v="121.2799988"/>
    <x v="651"/>
  </r>
  <r>
    <x v="658"/>
    <x v="8"/>
    <x v="7"/>
    <x v="2"/>
    <s v="Q3"/>
    <n v="121.2404938"/>
    <n v="121.6800003"/>
    <n v="121.6800003"/>
    <n v="119.4599991"/>
    <n v="120.26000209999999"/>
    <x v="652"/>
  </r>
  <r>
    <x v="659"/>
    <x v="9"/>
    <x v="7"/>
    <x v="2"/>
    <s v="Q3"/>
    <n v="121.6390533"/>
    <n v="122.08000180000001"/>
    <n v="122.3000031"/>
    <n v="120.61000060000001"/>
    <n v="121.1299973"/>
    <x v="653"/>
  </r>
  <r>
    <x v="660"/>
    <x v="10"/>
    <x v="7"/>
    <x v="2"/>
    <s v="Q3"/>
    <n v="121.26041410000001"/>
    <n v="121.6999969"/>
    <n v="122.4300003"/>
    <n v="120.63999939999999"/>
    <n v="121.5199966"/>
    <x v="654"/>
  </r>
  <r>
    <x v="661"/>
    <x v="24"/>
    <x v="7"/>
    <x v="2"/>
    <s v="Q3"/>
    <n v="119.11818700000001"/>
    <n v="119.5500031"/>
    <n v="121.2900009"/>
    <n v="119.3799973"/>
    <n v="120.1200027"/>
    <x v="655"/>
  </r>
  <r>
    <x v="662"/>
    <x v="25"/>
    <x v="7"/>
    <x v="2"/>
    <s v="Q3"/>
    <n v="119.7359467"/>
    <n v="120.16999819999999"/>
    <n v="120.8199997"/>
    <n v="118.7200012"/>
    <n v="119.4300003"/>
    <x v="656"/>
  </r>
  <r>
    <x v="663"/>
    <x v="12"/>
    <x v="7"/>
    <x v="2"/>
    <s v="Q3"/>
    <n v="116.78663640000001"/>
    <n v="117.2099991"/>
    <n v="119.1500015"/>
    <n v="116.76000209999999"/>
    <n v="119.0599976"/>
    <x v="657"/>
  </r>
  <r>
    <x v="664"/>
    <x v="13"/>
    <x v="7"/>
    <x v="2"/>
    <s v="Q3"/>
    <n v="113.82736970000001"/>
    <n v="114.23999790000001"/>
    <n v="115.6299973"/>
    <n v="113.8499985"/>
    <n v="115.1999969"/>
    <x v="658"/>
  </r>
  <r>
    <x v="665"/>
    <x v="14"/>
    <x v="7"/>
    <x v="2"/>
    <s v="Q3"/>
    <n v="113.4487457"/>
    <n v="113.86000060000001"/>
    <n v="115.01000209999999"/>
    <n v="113.4300003"/>
    <n v="113.4800034"/>
    <x v="659"/>
  </r>
  <r>
    <x v="666"/>
    <x v="27"/>
    <x v="7"/>
    <x v="2"/>
    <s v="Q3"/>
    <n v="113.2793503"/>
    <n v="113.6900024"/>
    <n v="114.7799988"/>
    <n v="112.8700027"/>
    <n v="113.5"/>
    <x v="660"/>
  </r>
  <r>
    <x v="667"/>
    <x v="28"/>
    <x v="7"/>
    <x v="2"/>
    <s v="Q3"/>
    <n v="116.2286682"/>
    <n v="116.6500015"/>
    <n v="116.7200012"/>
    <n v="114.11000060000001"/>
    <n v="114.23999790000001"/>
    <x v="661"/>
  </r>
  <r>
    <x v="668"/>
    <x v="17"/>
    <x v="7"/>
    <x v="2"/>
    <s v="Q3"/>
    <n v="109.94144439999999"/>
    <n v="110.3399963"/>
    <n v="115.1200027"/>
    <n v="110.1900024"/>
    <n v="114.7200012"/>
    <x v="662"/>
  </r>
  <r>
    <x v="669"/>
    <x v="18"/>
    <x v="7"/>
    <x v="2"/>
    <s v="Q3"/>
    <n v="109.02477260000001"/>
    <n v="109.41999819999999"/>
    <n v="110.9499969"/>
    <n v="108.8000031"/>
    <n v="109.98999790000001"/>
    <x v="663"/>
  </r>
  <r>
    <x v="670"/>
    <x v="19"/>
    <x v="7"/>
    <x v="2"/>
    <s v="Q3"/>
    <n v="108.5465088"/>
    <n v="108.9400024"/>
    <n v="110.5"/>
    <n v="107.8000031"/>
    <n v="110.16999819999999"/>
    <x v="664"/>
  </r>
  <r>
    <x v="671"/>
    <x v="30"/>
    <x v="8"/>
    <x v="2"/>
    <s v="Q3"/>
    <n v="107.8291092"/>
    <n v="108.2200012"/>
    <n v="110.8499985"/>
    <n v="108.1299973"/>
    <n v="110.6500015"/>
    <x v="665"/>
  </r>
  <r>
    <x v="672"/>
    <x v="29"/>
    <x v="8"/>
    <x v="2"/>
    <s v="Q3"/>
    <n v="109.34361269999999"/>
    <n v="109.73999790000001"/>
    <n v="110.4499969"/>
    <n v="107.36000060000001"/>
    <n v="108.2799988"/>
    <x v="666"/>
  </r>
  <r>
    <x v="673"/>
    <x v="1"/>
    <x v="8"/>
    <x v="2"/>
    <s v="Q3"/>
    <n v="107.4604416"/>
    <n v="107.8499985"/>
    <n v="110.73999790000001"/>
    <n v="107.26000209999999"/>
    <n v="110.5899963"/>
    <x v="667"/>
  </r>
  <r>
    <x v="674"/>
    <x v="2"/>
    <x v="8"/>
    <x v="2"/>
    <s v="Q3"/>
    <n v="106.42420199999999"/>
    <n v="106.8099976"/>
    <n v="108.0299988"/>
    <n v="105.7799988"/>
    <n v="107.3000031"/>
    <x v="668"/>
  </r>
  <r>
    <x v="675"/>
    <x v="3"/>
    <x v="8"/>
    <x v="2"/>
    <s v="Q3"/>
    <n v="109.0546646"/>
    <n v="109.4499969"/>
    <n v="109.9800034"/>
    <n v="106.9000015"/>
    <n v="107.0599976"/>
    <x v="669"/>
  </r>
  <r>
    <x v="676"/>
    <x v="4"/>
    <x v="8"/>
    <x v="2"/>
    <s v="Q3"/>
    <n v="107.9885254"/>
    <n v="108.3799973"/>
    <n v="109.5999985"/>
    <n v="107.1600037"/>
    <n v="108.0400009"/>
    <x v="670"/>
  </r>
  <r>
    <x v="677"/>
    <x v="23"/>
    <x v="8"/>
    <x v="2"/>
    <s v="Q3"/>
    <n v="110.25033569999999"/>
    <n v="110.6500015"/>
    <n v="110.98999790000001"/>
    <n v="109.0199966"/>
    <n v="109.0699997"/>
    <x v="671"/>
  </r>
  <r>
    <x v="678"/>
    <x v="6"/>
    <x v="8"/>
    <x v="2"/>
    <s v="Q3"/>
    <n v="110.4595795"/>
    <n v="110.86000060000001"/>
    <n v="111.6200027"/>
    <n v="109.9300003"/>
    <n v="110.98999790000001"/>
    <x v="672"/>
  </r>
  <r>
    <x v="679"/>
    <x v="7"/>
    <x v="8"/>
    <x v="2"/>
    <s v="Q3"/>
    <n v="103.9431992"/>
    <n v="104.3199997"/>
    <n v="108.3000031"/>
    <n v="104.0899963"/>
    <n v="107.8000031"/>
    <x v="673"/>
  </r>
  <r>
    <x v="680"/>
    <x v="8"/>
    <x v="8"/>
    <x v="2"/>
    <s v="Q3"/>
    <n v="104.6207428"/>
    <n v="105"/>
    <n v="105.2799988"/>
    <n v="103.6600037"/>
    <n v="104.5699997"/>
    <x v="674"/>
  </r>
  <r>
    <x v="681"/>
    <x v="9"/>
    <x v="8"/>
    <x v="2"/>
    <s v="Q3"/>
    <n v="102.5382919"/>
    <n v="102.9100037"/>
    <n v="105.2699966"/>
    <n v="102.3499985"/>
    <n v="104.0299988"/>
    <x v="675"/>
  </r>
  <r>
    <x v="682"/>
    <x v="25"/>
    <x v="8"/>
    <x v="2"/>
    <s v="Q3"/>
    <n v="102.42869570000001"/>
    <n v="102.8000031"/>
    <n v="103.1299973"/>
    <n v="100.9400024"/>
    <n v="102.0699997"/>
    <x v="676"/>
  </r>
  <r>
    <x v="683"/>
    <x v="26"/>
    <x v="8"/>
    <x v="2"/>
    <s v="Q3"/>
    <n v="102.6977158"/>
    <n v="103.0699997"/>
    <n v="103.33000180000001"/>
    <n v="101.5500031"/>
    <n v="101.75"/>
    <x v="677"/>
  </r>
  <r>
    <x v="684"/>
    <x v="11"/>
    <x v="8"/>
    <x v="2"/>
    <s v="Q3"/>
    <n v="100.7746811"/>
    <n v="101.13999939999999"/>
    <n v="102.3700027"/>
    <n v="100.5199966"/>
    <n v="102.08000180000001"/>
    <x v="678"/>
  </r>
  <r>
    <x v="685"/>
    <x v="12"/>
    <x v="8"/>
    <x v="2"/>
    <s v="Q3"/>
    <n v="98.92139435"/>
    <n v="99.27999878"/>
    <n v="102.8799973"/>
    <n v="99.269996640000002"/>
    <n v="101.66999819999999"/>
    <x v="679"/>
  </r>
  <r>
    <x v="686"/>
    <x v="13"/>
    <x v="8"/>
    <x v="2"/>
    <s v="Q3"/>
    <n v="99.778289790000002"/>
    <n v="100.13999939999999"/>
    <n v="101.23999790000001"/>
    <n v="98.790000919999997"/>
    <n v="98.819999690000003"/>
    <x v="680"/>
  </r>
  <r>
    <x v="687"/>
    <x v="28"/>
    <x v="8"/>
    <x v="2"/>
    <s v="Q3"/>
    <n v="98.383346560000007"/>
    <n v="98.739997860000003"/>
    <n v="99.660003660000001"/>
    <n v="97.47000122"/>
    <n v="99.629997250000002"/>
    <x v="681"/>
  </r>
  <r>
    <x v="688"/>
    <x v="15"/>
    <x v="8"/>
    <x v="2"/>
    <s v="Q3"/>
    <n v="97.815414430000004"/>
    <n v="98.16999817"/>
    <n v="99.879997250000002"/>
    <n v="97.800003050000001"/>
    <n v="98.099998470000003"/>
    <x v="682"/>
  </r>
  <r>
    <x v="689"/>
    <x v="16"/>
    <x v="8"/>
    <x v="2"/>
    <s v="Q3"/>
    <n v="97.147827149999998"/>
    <n v="97.5"/>
    <n v="100"/>
    <n v="96.870002749999998"/>
    <n v="99.430000309999997"/>
    <x v="683"/>
  </r>
  <r>
    <x v="690"/>
    <x v="17"/>
    <x v="8"/>
    <x v="2"/>
    <s v="Q3"/>
    <n v="99.688629149999997"/>
    <n v="100.0500031"/>
    <n v="100.6999969"/>
    <n v="97.11000061"/>
    <n v="97.650001529999997"/>
    <x v="684"/>
  </r>
  <r>
    <x v="691"/>
    <x v="18"/>
    <x v="8"/>
    <x v="2"/>
    <s v="Q3"/>
    <n v="97.068115230000004"/>
    <n v="97.41999817"/>
    <n v="98.63999939"/>
    <n v="95.959999080000003"/>
    <n v="98.63999939"/>
    <x v="685"/>
  </r>
  <r>
    <x v="692"/>
    <x v="0"/>
    <x v="9"/>
    <x v="2"/>
    <s v="Q4"/>
    <n v="95.304512020000004"/>
    <n v="95.650001529999997"/>
    <n v="98.900001529999997"/>
    <n v="95.559997559999999"/>
    <n v="97.050003050000001"/>
    <x v="686"/>
  </r>
  <r>
    <x v="693"/>
    <x v="20"/>
    <x v="9"/>
    <x v="2"/>
    <s v="Q4"/>
    <n v="98.283706670000001"/>
    <n v="98.63999939"/>
    <n v="99.290000919999997"/>
    <n v="96.519996640000002"/>
    <n v="96.760002139999997"/>
    <x v="687"/>
  </r>
  <r>
    <x v="694"/>
    <x v="21"/>
    <x v="9"/>
    <x v="2"/>
    <s v="Q4"/>
    <n v="101.2728729"/>
    <n v="101.63999939999999"/>
    <n v="101.8399963"/>
    <n v="100.3799973"/>
    <n v="100.4400024"/>
    <x v="688"/>
  </r>
  <r>
    <x v="695"/>
    <x v="1"/>
    <x v="9"/>
    <x v="2"/>
    <s v="Q4"/>
    <n v="101.0636368"/>
    <n v="101.4300003"/>
    <n v="101.9300003"/>
    <n v="98.800003050000001"/>
    <n v="99.83000183"/>
    <x v="689"/>
  </r>
  <r>
    <x v="696"/>
    <x v="2"/>
    <x v="9"/>
    <x v="2"/>
    <s v="Q4"/>
    <n v="101.0536652"/>
    <n v="101.41999819999999"/>
    <n v="102.9300003"/>
    <n v="100.5899963"/>
    <n v="100.6800003"/>
    <x v="690"/>
  </r>
  <r>
    <x v="697"/>
    <x v="5"/>
    <x v="9"/>
    <x v="2"/>
    <s v="Q4"/>
    <n v="98.323562620000004"/>
    <n v="98.680000309999997"/>
    <n v="100.5299988"/>
    <n v="98.300003050000001"/>
    <n v="99.849998470000003"/>
    <x v="691"/>
  </r>
  <r>
    <x v="698"/>
    <x v="22"/>
    <x v="9"/>
    <x v="2"/>
    <s v="Q4"/>
    <n v="97.506530760000004"/>
    <n v="97.86000061"/>
    <n v="99.099998470000003"/>
    <n v="97.010002139999997"/>
    <n v="99"/>
    <x v="692"/>
  </r>
  <r>
    <x v="699"/>
    <x v="23"/>
    <x v="9"/>
    <x v="2"/>
    <s v="Q4"/>
    <n v="96.828987119999994"/>
    <n v="97.180000309999997"/>
    <n v="99.25"/>
    <n v="96.309997559999999"/>
    <n v="97.430000309999997"/>
    <x v="693"/>
  </r>
  <r>
    <x v="700"/>
    <x v="6"/>
    <x v="9"/>
    <x v="2"/>
    <s v="Q4"/>
    <n v="97.207611080000007"/>
    <n v="97.559997559999999"/>
    <n v="98.75"/>
    <n v="96.739997860000003"/>
    <n v="97.300003050000001"/>
    <x v="694"/>
  </r>
  <r>
    <x v="701"/>
    <x v="7"/>
    <x v="9"/>
    <x v="2"/>
    <s v="Q4"/>
    <n v="98.702186580000003"/>
    <n v="99.059997559999999"/>
    <n v="99.77999878"/>
    <n v="94.379997250000002"/>
    <n v="95.150001529999997"/>
    <x v="695"/>
  </r>
  <r>
    <x v="702"/>
    <x v="10"/>
    <x v="9"/>
    <x v="2"/>
    <s v="Q4"/>
    <n v="96.211219790000001"/>
    <n v="96.559997559999999"/>
    <n v="100.6900024"/>
    <n v="96.370002749999998"/>
    <n v="99.989997860000003"/>
    <x v="696"/>
  </r>
  <r>
    <x v="703"/>
    <x v="24"/>
    <x v="9"/>
    <x v="2"/>
    <s v="Q4"/>
    <n v="99.608917239999997"/>
    <n v="99.97000122"/>
    <n v="100.9300003"/>
    <n v="98.83000183"/>
    <n v="98.86000061"/>
    <x v="697"/>
  </r>
  <r>
    <x v="704"/>
    <x v="25"/>
    <x v="9"/>
    <x v="2"/>
    <s v="Q4"/>
    <n v="100.4060211"/>
    <n v="100.7699966"/>
    <n v="103.4700012"/>
    <n v="99.97000122"/>
    <n v="103.1299973"/>
    <x v="698"/>
  </r>
  <r>
    <x v="705"/>
    <x v="26"/>
    <x v="9"/>
    <x v="2"/>
    <s v="Q4"/>
    <n v="99.270141600000002"/>
    <n v="99.629997250000002"/>
    <n v="101.0199966"/>
    <n v="98.91999817"/>
    <n v="100.01000209999999"/>
    <x v="699"/>
  </r>
  <r>
    <x v="706"/>
    <x v="11"/>
    <x v="9"/>
    <x v="2"/>
    <s v="Q4"/>
    <n v="99.608917239999997"/>
    <n v="99.97000122"/>
    <n v="102.3199997"/>
    <n v="99.38999939"/>
    <n v="100"/>
    <x v="700"/>
  </r>
  <r>
    <x v="707"/>
    <x v="14"/>
    <x v="9"/>
    <x v="2"/>
    <s v="Q4"/>
    <n v="100.7647171"/>
    <n v="101.1299973"/>
    <n v="101.3099976"/>
    <n v="97.72000122"/>
    <n v="97.849998470000003"/>
    <x v="701"/>
  </r>
  <r>
    <x v="708"/>
    <x v="27"/>
    <x v="9"/>
    <x v="2"/>
    <s v="Q4"/>
    <n v="102.1496964"/>
    <n v="102.5199966"/>
    <n v="102.75"/>
    <n v="99.980003359999998"/>
    <n v="101.8000031"/>
    <x v="702"/>
  </r>
  <r>
    <x v="709"/>
    <x v="28"/>
    <x v="9"/>
    <x v="2"/>
    <s v="Q4"/>
    <n v="104.10262299999999"/>
    <n v="104.4800034"/>
    <n v="104.8199997"/>
    <n v="102.7200012"/>
    <n v="102.9000015"/>
    <x v="703"/>
  </r>
  <r>
    <x v="710"/>
    <x v="15"/>
    <x v="9"/>
    <x v="2"/>
    <s v="Q4"/>
    <n v="94.587112430000005"/>
    <n v="94.930000309999997"/>
    <n v="98.309997559999999"/>
    <n v="94.690002440000001"/>
    <n v="96.430000309999997"/>
    <x v="704"/>
  </r>
  <r>
    <x v="711"/>
    <x v="16"/>
    <x v="9"/>
    <x v="2"/>
    <s v="Q4"/>
    <n v="91.886901859999995"/>
    <n v="92.22000122"/>
    <n v="95.430000309999997"/>
    <n v="91.800003050000001"/>
    <n v="94.519996640000002"/>
    <x v="705"/>
  </r>
  <r>
    <x v="712"/>
    <x v="19"/>
    <x v="9"/>
    <x v="2"/>
    <s v="Q4"/>
    <n v="95.942199709999997"/>
    <n v="96.290000919999997"/>
    <n v="96.550003050000001"/>
    <n v="92.129997250000002"/>
    <n v="92.269996640000002"/>
    <x v="706"/>
  </r>
  <r>
    <x v="713"/>
    <x v="30"/>
    <x v="10"/>
    <x v="2"/>
    <s v="Q4"/>
    <n v="94.168632509999995"/>
    <n v="94.510002139999997"/>
    <n v="96.02999878"/>
    <n v="93.980003359999998"/>
    <n v="95.41999817"/>
    <x v="707"/>
  </r>
  <r>
    <x v="714"/>
    <x v="29"/>
    <x v="10"/>
    <x v="2"/>
    <s v="Q4"/>
    <n v="90.143226619999993"/>
    <n v="90.47000122"/>
    <n v="96.02999878"/>
    <n v="90.370002749999998"/>
    <n v="95.449996949999999"/>
    <x v="708"/>
  </r>
  <r>
    <x v="715"/>
    <x v="0"/>
    <x v="10"/>
    <x v="2"/>
    <s v="Q4"/>
    <n v="86.655860899999993"/>
    <n v="86.97000122"/>
    <n v="91.180000309999997"/>
    <n v="86.879997250000002"/>
    <n v="90.940002440000001"/>
    <x v="709"/>
  </r>
  <r>
    <x v="716"/>
    <x v="20"/>
    <x v="10"/>
    <x v="2"/>
    <s v="Q4"/>
    <n v="83.128654479999994"/>
    <n v="83.430000309999997"/>
    <n v="86.519996640000002"/>
    <n v="83.339996339999999"/>
    <n v="86.319999690000003"/>
    <x v="710"/>
  </r>
  <r>
    <x v="717"/>
    <x v="2"/>
    <x v="10"/>
    <x v="2"/>
    <s v="Q4"/>
    <n v="86.267280580000005"/>
    <n v="86.58000183"/>
    <n v="86.63999939"/>
    <n v="83.709999080000003"/>
    <n v="85.400001529999997"/>
    <x v="711"/>
  </r>
  <r>
    <x v="718"/>
    <x v="3"/>
    <x v="10"/>
    <x v="2"/>
    <s v="Q4"/>
    <n v="88.170372009999994"/>
    <n v="88.489997860000003"/>
    <n v="88.900001529999997"/>
    <n v="86.849998470000003"/>
    <n v="87.27999878"/>
    <x v="712"/>
  </r>
  <r>
    <x v="719"/>
    <x v="4"/>
    <x v="10"/>
    <x v="2"/>
    <s v="Q4"/>
    <n v="88.57889557"/>
    <n v="88.900001529999997"/>
    <n v="90.319999690000003"/>
    <n v="87.589996339999999"/>
    <n v="88.900001529999997"/>
    <x v="713"/>
  </r>
  <r>
    <x v="720"/>
    <x v="5"/>
    <x v="10"/>
    <x v="2"/>
    <s v="Q4"/>
    <n v="87.004600519999997"/>
    <n v="87.319999690000003"/>
    <n v="89.440002440000001"/>
    <n v="87.27999878"/>
    <n v="88.449996949999999"/>
    <x v="714"/>
  </r>
  <r>
    <x v="721"/>
    <x v="22"/>
    <x v="10"/>
    <x v="2"/>
    <s v="Q4"/>
    <n v="93.600700380000006"/>
    <n v="93.940002440000001"/>
    <n v="94.38999939"/>
    <n v="91.61000061"/>
    <n v="92.25"/>
    <x v="715"/>
  </r>
  <r>
    <x v="722"/>
    <x v="7"/>
    <x v="10"/>
    <x v="2"/>
    <s v="Q4"/>
    <n v="96.061767579999994"/>
    <n v="96.410003660000001"/>
    <n v="96.930000309999997"/>
    <n v="93.91999817"/>
    <n v="94.690002440000001"/>
    <x v="716"/>
  </r>
  <r>
    <x v="723"/>
    <x v="8"/>
    <x v="10"/>
    <x v="2"/>
    <s v="Q4"/>
    <n v="95.354331970000004"/>
    <n v="95.699996949999999"/>
    <n v="96.790000919999997"/>
    <n v="94.510002139999997"/>
    <n v="95.089996339999999"/>
    <x v="717"/>
  </r>
  <r>
    <x v="724"/>
    <x v="9"/>
    <x v="10"/>
    <x v="2"/>
    <s v="Q4"/>
    <n v="98.084434509999994"/>
    <n v="98.440002440000001"/>
    <n v="100.13999939999999"/>
    <n v="96.709999080000003"/>
    <n v="98.260002139999997"/>
    <x v="718"/>
  </r>
  <r>
    <x v="725"/>
    <x v="10"/>
    <x v="10"/>
    <x v="2"/>
    <s v="Q4"/>
    <n v="98.49295807"/>
    <n v="98.849998470000003"/>
    <n v="99.63999939"/>
    <n v="97.63999939"/>
    <n v="97.900001529999997"/>
    <x v="719"/>
  </r>
  <r>
    <x v="726"/>
    <x v="24"/>
    <x v="10"/>
    <x v="2"/>
    <s v="Q4"/>
    <n v="98.004722599999994"/>
    <n v="98.36000061"/>
    <n v="99.27999878"/>
    <n v="96.790000919999997"/>
    <n v="96.97000122"/>
    <x v="720"/>
  </r>
  <r>
    <x v="727"/>
    <x v="11"/>
    <x v="10"/>
    <x v="2"/>
    <s v="Q4"/>
    <n v="97.078086850000005"/>
    <n v="97.430000309999997"/>
    <n v="98.900001529999997"/>
    <n v="96.370002749999998"/>
    <n v="98.769996640000002"/>
    <x v="721"/>
  </r>
  <r>
    <x v="728"/>
    <x v="12"/>
    <x v="10"/>
    <x v="2"/>
    <s v="Q4"/>
    <n v="95.254699709999997"/>
    <n v="95.599998470000003"/>
    <n v="98.400001529999997"/>
    <n v="95.36000061"/>
    <n v="97.290000919999997"/>
    <x v="722"/>
  </r>
  <r>
    <x v="729"/>
    <x v="13"/>
    <x v="10"/>
    <x v="2"/>
    <s v="Q4"/>
    <n v="96.699455259999993"/>
    <n v="97.050003050000001"/>
    <n v="97.22000122"/>
    <n v="94.050003050000001"/>
    <n v="95.949996949999999"/>
    <x v="723"/>
  </r>
  <r>
    <x v="730"/>
    <x v="27"/>
    <x v="10"/>
    <x v="2"/>
    <s v="Q4"/>
    <n v="98.10436249"/>
    <n v="98.459999080000003"/>
    <n v="98.760002139999997"/>
    <n v="97.089996339999999"/>
    <n v="97.089996339999999"/>
    <x v="724"/>
  </r>
  <r>
    <x v="731"/>
    <x v="16"/>
    <x v="10"/>
    <x v="2"/>
    <s v="Q4"/>
    <n v="97.107971190000001"/>
    <n v="97.459999080000003"/>
    <n v="98.63999939"/>
    <n v="97.400001529999997"/>
    <n v="98.239997860000003"/>
    <x v="725"/>
  </r>
  <r>
    <x v="732"/>
    <x v="17"/>
    <x v="10"/>
    <x v="2"/>
    <s v="Q4"/>
    <n v="95.703071589999993"/>
    <n v="96.050003050000001"/>
    <n v="97.58000183"/>
    <n v="95.61000061"/>
    <n v="97.040000919999997"/>
    <x v="726"/>
  </r>
  <r>
    <x v="733"/>
    <x v="18"/>
    <x v="10"/>
    <x v="2"/>
    <s v="Q4"/>
    <n v="94.846176150000005"/>
    <n v="95.190002440000001"/>
    <n v="96.120002749999998"/>
    <n v="94.11000061"/>
    <n v="95.730003359999998"/>
    <x v="727"/>
  </r>
  <r>
    <x v="734"/>
    <x v="30"/>
    <x v="11"/>
    <x v="2"/>
    <s v="Q4"/>
    <n v="100.6252289"/>
    <n v="100.98999790000001"/>
    <n v="101.0400009"/>
    <n v="94.41999817"/>
    <n v="94.819999690000003"/>
    <x v="728"/>
  </r>
  <r>
    <x v="735"/>
    <x v="29"/>
    <x v="11"/>
    <x v="2"/>
    <s v="Q4"/>
    <n v="100.6252289"/>
    <n v="100.98999790000001"/>
    <n v="102.25"/>
    <n v="100.25"/>
    <n v="101.0199966"/>
    <x v="729"/>
  </r>
  <r>
    <x v="736"/>
    <x v="21"/>
    <x v="11"/>
    <x v="2"/>
    <s v="Q4"/>
    <n v="100.0772095"/>
    <n v="100.4400024"/>
    <n v="100.7699966"/>
    <n v="98.900001529999997"/>
    <n v="99.050003050000001"/>
    <x v="730"/>
  </r>
  <r>
    <x v="737"/>
    <x v="1"/>
    <x v="11"/>
    <x v="2"/>
    <s v="Q4"/>
    <n v="99.120681759999997"/>
    <n v="99.480003359999998"/>
    <n v="101.3799973"/>
    <n v="99"/>
    <n v="99.400001529999997"/>
    <x v="731"/>
  </r>
  <r>
    <x v="738"/>
    <x v="2"/>
    <x v="11"/>
    <x v="2"/>
    <s v="Q4"/>
    <n v="96.629707339999996"/>
    <n v="96.980003359999998"/>
    <n v="99.77999878"/>
    <n v="96.41999817"/>
    <n v="99.300003050000001"/>
    <x v="732"/>
  </r>
  <r>
    <x v="739"/>
    <x v="3"/>
    <x v="11"/>
    <x v="2"/>
    <s v="Q4"/>
    <n v="94.597084050000007"/>
    <n v="94.940002440000001"/>
    <n v="96.879997250000002"/>
    <n v="94.72000122"/>
    <n v="96.410003660000001"/>
    <x v="733"/>
  </r>
  <r>
    <x v="740"/>
    <x v="4"/>
    <x v="11"/>
    <x v="2"/>
    <s v="Q4"/>
    <n v="93.371521000000001"/>
    <n v="93.709999080000003"/>
    <n v="95.58000183"/>
    <n v="93.449996949999999"/>
    <n v="95.379997250000002"/>
    <x v="734"/>
  </r>
  <r>
    <x v="741"/>
    <x v="23"/>
    <x v="11"/>
    <x v="2"/>
    <s v="Q4"/>
    <n v="92.49469757"/>
    <n v="92.83000183"/>
    <n v="94.260002139999997"/>
    <n v="92.75"/>
    <n v="93.769996640000002"/>
    <x v="735"/>
  </r>
  <r>
    <x v="742"/>
    <x v="6"/>
    <x v="11"/>
    <x v="2"/>
    <s v="Q4"/>
    <n v="92.972961429999998"/>
    <n v="93.309997559999999"/>
    <n v="93.559997559999999"/>
    <n v="91.61000061"/>
    <n v="92.709999080000003"/>
    <x v="736"/>
  </r>
  <r>
    <x v="743"/>
    <x v="7"/>
    <x v="11"/>
    <x v="2"/>
    <s v="Q4"/>
    <n v="95.284584050000007"/>
    <n v="95.629997250000002"/>
    <n v="99.52999878"/>
    <n v="95.02999878"/>
    <n v="97.760002139999997"/>
    <x v="737"/>
  </r>
  <r>
    <x v="744"/>
    <x v="8"/>
    <x v="11"/>
    <x v="2"/>
    <s v="Q4"/>
    <n v="94.726608279999994"/>
    <n v="95.069999690000003"/>
    <n v="96.870002749999998"/>
    <n v="93.599998470000003"/>
    <n v="95.199996949999999"/>
    <x v="738"/>
  </r>
  <r>
    <x v="745"/>
    <x v="9"/>
    <x v="11"/>
    <x v="2"/>
    <s v="Q4"/>
    <n v="90.531814580000002"/>
    <n v="90.86000061"/>
    <n v="93.63999939"/>
    <n v="90.010002139999997"/>
    <n v="93.129997250000002"/>
    <x v="739"/>
  </r>
  <r>
    <x v="746"/>
    <x v="25"/>
    <x v="11"/>
    <x v="2"/>
    <s v="Q4"/>
    <n v="89.933982850000007"/>
    <n v="90.260002139999997"/>
    <n v="91.33000183"/>
    <n v="89.519996640000002"/>
    <n v="90.760002139999997"/>
    <x v="740"/>
  </r>
  <r>
    <x v="747"/>
    <x v="26"/>
    <x v="11"/>
    <x v="2"/>
    <s v="Q4"/>
    <n v="88.120559689999993"/>
    <n v="88.440002440000001"/>
    <n v="90.559997559999999"/>
    <n v="88.209999080000003"/>
    <n v="90.260002139999997"/>
    <x v="741"/>
  </r>
  <r>
    <x v="748"/>
    <x v="11"/>
    <x v="11"/>
    <x v="2"/>
    <s v="Q4"/>
    <n v="88.698455809999999"/>
    <n v="89.019996640000002"/>
    <n v="89.180000309999997"/>
    <n v="87.440002440000001"/>
    <n v="88.11000061"/>
    <x v="742"/>
  </r>
  <r>
    <x v="749"/>
    <x v="12"/>
    <x v="11"/>
    <x v="2"/>
    <s v="Q4"/>
    <n v="89.256439209999996"/>
    <n v="89.58000183"/>
    <n v="90.22000122"/>
    <n v="88.319999690000003"/>
    <n v="89.08000183"/>
    <x v="743"/>
  </r>
  <r>
    <x v="750"/>
    <x v="13"/>
    <x v="11"/>
    <x v="2"/>
    <s v="Q4"/>
    <n v="87.443016049999997"/>
    <n v="87.760002139999997"/>
    <n v="88.540000919999997"/>
    <n v="86.319999690000003"/>
    <n v="88.160003660000001"/>
    <x v="744"/>
  </r>
  <r>
    <x v="751"/>
    <x v="15"/>
    <x v="11"/>
    <x v="2"/>
    <s v="Q4"/>
    <n v="88.907707209999998"/>
    <n v="89.230003359999998"/>
    <n v="89.550003050000001"/>
    <n v="87.069999690000003"/>
    <n v="87.11000061"/>
    <x v="745"/>
  </r>
  <r>
    <x v="752"/>
    <x v="16"/>
    <x v="11"/>
    <x v="2"/>
    <s v="Q4"/>
    <n v="87.074340820000003"/>
    <n v="87.38999939"/>
    <n v="88.940002440000001"/>
    <n v="87.010002139999997"/>
    <n v="88.800003050000001"/>
    <x v="746"/>
  </r>
  <r>
    <x v="753"/>
    <x v="17"/>
    <x v="11"/>
    <x v="2"/>
    <s v="Q4"/>
    <n v="85.709297179999993"/>
    <n v="86.019996640000002"/>
    <n v="88.040000919999997"/>
    <n v="85.940002440000001"/>
    <n v="86.980003359999998"/>
    <x v="747"/>
  </r>
  <r>
    <x v="754"/>
    <x v="18"/>
    <x v="11"/>
    <x v="2"/>
    <s v="Q4"/>
    <n v="88.130516049999997"/>
    <n v="88.449996949999999"/>
    <n v="88.849998470000003"/>
    <n v="86.61000061"/>
    <n v="86.620002749999998"/>
    <x v="748"/>
  </r>
  <r>
    <x v="755"/>
    <x v="0"/>
    <x v="0"/>
    <x v="3"/>
    <s v="Q1"/>
    <n v="87.911308289999994"/>
    <n v="88.230003359999998"/>
    <n v="88.300003050000001"/>
    <n v="86.569999690000003"/>
    <n v="86.980003359999998"/>
    <x v="749"/>
  </r>
  <r>
    <x v="756"/>
    <x v="20"/>
    <x v="0"/>
    <x v="3"/>
    <s v="Q1"/>
    <n v="88.798103330000004"/>
    <n v="89.120002749999998"/>
    <n v="91.050003050000001"/>
    <n v="88.519996640000002"/>
    <n v="89.589996339999999"/>
    <x v="750"/>
  </r>
  <r>
    <x v="757"/>
    <x v="21"/>
    <x v="0"/>
    <x v="3"/>
    <s v="Q1"/>
    <n v="87.761856080000001"/>
    <n v="88.08000183"/>
    <n v="90.650001529999997"/>
    <n v="87.269996640000002"/>
    <n v="90.349998470000003"/>
    <x v="751"/>
  </r>
  <r>
    <x v="758"/>
    <x v="1"/>
    <x v="0"/>
    <x v="3"/>
    <s v="Q1"/>
    <n v="85.888648989999993"/>
    <n v="86.199996949999999"/>
    <n v="87.569999690000003"/>
    <n v="85.900001529999997"/>
    <n v="87.47000122"/>
    <x v="752"/>
  </r>
  <r>
    <x v="759"/>
    <x v="4"/>
    <x v="0"/>
    <x v="3"/>
    <s v="Q1"/>
    <n v="87.024528500000002"/>
    <n v="87.339996339999999"/>
    <n v="87.690002440000001"/>
    <n v="84.86000061"/>
    <n v="86.790000919999997"/>
    <x v="753"/>
  </r>
  <r>
    <x v="760"/>
    <x v="5"/>
    <x v="0"/>
    <x v="3"/>
    <s v="Q1"/>
    <n v="87.702072139999999"/>
    <n v="88.019996640000002"/>
    <n v="90.050003050000001"/>
    <n v="87.86000061"/>
    <n v="88.36000061"/>
    <x v="754"/>
  </r>
  <r>
    <x v="761"/>
    <x v="22"/>
    <x v="0"/>
    <x v="3"/>
    <s v="Q1"/>
    <n v="88.100624080000003"/>
    <n v="88.41999817"/>
    <n v="88.66999817"/>
    <n v="85.83000183"/>
    <n v="85.980003359999998"/>
    <x v="755"/>
  </r>
  <r>
    <x v="762"/>
    <x v="23"/>
    <x v="0"/>
    <x v="3"/>
    <s v="Q1"/>
    <n v="91.189430239999993"/>
    <n v="91.519996640000002"/>
    <n v="91.599998470000003"/>
    <n v="89.010002139999997"/>
    <n v="89.180000309999997"/>
    <x v="756"/>
  </r>
  <r>
    <x v="763"/>
    <x v="6"/>
    <x v="0"/>
    <x v="3"/>
    <s v="Q1"/>
    <n v="90.800834660000007"/>
    <n v="91.129997250000002"/>
    <n v="91.870002749999998"/>
    <n v="89.75"/>
    <n v="91.480003359999998"/>
    <x v="757"/>
  </r>
  <r>
    <x v="764"/>
    <x v="10"/>
    <x v="0"/>
    <x v="3"/>
    <s v="Q1"/>
    <n v="91.787269589999994"/>
    <n v="92.120002749999998"/>
    <n v="92.190002440000001"/>
    <n v="90.129997250000002"/>
    <n v="90.849998470000003"/>
    <x v="758"/>
  </r>
  <r>
    <x v="765"/>
    <x v="24"/>
    <x v="0"/>
    <x v="3"/>
    <s v="Q1"/>
    <n v="90.960266110000006"/>
    <n v="91.290000919999997"/>
    <n v="92.25"/>
    <n v="90.050003050000001"/>
    <n v="92.059997559999999"/>
    <x v="759"/>
  </r>
  <r>
    <x v="766"/>
    <x v="25"/>
    <x v="0"/>
    <x v="3"/>
    <s v="Q1"/>
    <n v="90.790878300000003"/>
    <n v="91.120002749999998"/>
    <n v="92.800003050000001"/>
    <n v="90.63999939"/>
    <n v="92.13999939"/>
    <x v="760"/>
  </r>
  <r>
    <x v="767"/>
    <x v="26"/>
    <x v="0"/>
    <x v="3"/>
    <s v="Q1"/>
    <n v="92.713905330000003"/>
    <n v="93.050003050000001"/>
    <n v="93.61000061"/>
    <n v="90.629997250000002"/>
    <n v="90.72000122"/>
    <x v="761"/>
  </r>
  <r>
    <x v="768"/>
    <x v="13"/>
    <x v="0"/>
    <x v="3"/>
    <s v="Q1"/>
    <n v="97.665946959999999"/>
    <n v="98.019996640000002"/>
    <n v="98.300003050000001"/>
    <n v="95.019996640000002"/>
    <n v="95.099998470000003"/>
    <x v="762"/>
  </r>
  <r>
    <x v="769"/>
    <x v="14"/>
    <x v="0"/>
    <x v="3"/>
    <s v="Q1"/>
    <n v="99.429565429999997"/>
    <n v="99.790000919999997"/>
    <n v="100.0400009"/>
    <n v="97.5"/>
    <n v="97.949996949999999"/>
    <x v="763"/>
  </r>
  <r>
    <x v="770"/>
    <x v="27"/>
    <x v="0"/>
    <x v="3"/>
    <s v="Q1"/>
    <n v="97.347099299999996"/>
    <n v="97.699996949999999"/>
    <n v="99.61000061"/>
    <n v="97.199996949999999"/>
    <n v="98.099998470000003"/>
    <x v="764"/>
  </r>
  <r>
    <x v="771"/>
    <x v="28"/>
    <x v="0"/>
    <x v="3"/>
    <s v="Q1"/>
    <n v="94.876075740000005"/>
    <n v="95.22000122"/>
    <n v="96.160003660000001"/>
    <n v="93.760002139999997"/>
    <n v="95.569999690000003"/>
    <x v="765"/>
  </r>
  <r>
    <x v="772"/>
    <x v="15"/>
    <x v="0"/>
    <x v="3"/>
    <s v="Q1"/>
    <n v="97.167755130000003"/>
    <n v="97.519996640000002"/>
    <n v="97.569999690000003"/>
    <n v="95.379997250000002"/>
    <n v="96.5"/>
    <x v="766"/>
  </r>
  <r>
    <x v="773"/>
    <x v="18"/>
    <x v="0"/>
    <x v="3"/>
    <s v="Q1"/>
    <n v="99.011085510000001"/>
    <n v="99.370002749999998"/>
    <n v="100.3199997"/>
    <n v="97.309997559999999"/>
    <n v="97.309997559999999"/>
    <x v="767"/>
  </r>
  <r>
    <x v="774"/>
    <x v="19"/>
    <x v="0"/>
    <x v="3"/>
    <s v="Q1"/>
    <n v="96.589851379999999"/>
    <n v="96.940002440000001"/>
    <n v="98.290000919999997"/>
    <n v="96.400001529999997"/>
    <n v="97.480003359999998"/>
    <x v="768"/>
  </r>
  <r>
    <x v="775"/>
    <x v="30"/>
    <x v="1"/>
    <x v="3"/>
    <s v="Q1"/>
    <n v="98.482986449999999"/>
    <n v="98.839996339999999"/>
    <n v="98.879997250000002"/>
    <n v="96.819999690000003"/>
    <n v="96.870002749999998"/>
    <x v="769"/>
  </r>
  <r>
    <x v="776"/>
    <x v="29"/>
    <x v="1"/>
    <x v="3"/>
    <s v="Q1"/>
    <n v="100.0672531"/>
    <n v="100.4300003"/>
    <n v="101.1900024"/>
    <n v="97.58000183"/>
    <n v="98.709999080000003"/>
    <x v="770"/>
  </r>
  <r>
    <x v="777"/>
    <x v="0"/>
    <x v="1"/>
    <x v="3"/>
    <s v="Q1"/>
    <n v="107.3508377"/>
    <n v="107.73999790000001"/>
    <n v="107.8499985"/>
    <n v="105.61000060000001"/>
    <n v="105.8000031"/>
    <x v="771"/>
  </r>
  <r>
    <x v="778"/>
    <x v="1"/>
    <x v="1"/>
    <x v="3"/>
    <s v="Q1"/>
    <n v="104.401535"/>
    <n v="104.7799988"/>
    <n v="107.8099976"/>
    <n v="102.58000180000001"/>
    <n v="102.9300003"/>
    <x v="772"/>
  </r>
  <r>
    <x v="779"/>
    <x v="2"/>
    <x v="1"/>
    <x v="3"/>
    <s v="Q1"/>
    <n v="102.52832789999999"/>
    <n v="102.9000015"/>
    <n v="104.36000060000001"/>
    <n v="101.8799973"/>
    <n v="102.4000015"/>
    <x v="773"/>
  </r>
  <r>
    <x v="780"/>
    <x v="3"/>
    <x v="1"/>
    <x v="3"/>
    <s v="Q1"/>
    <n v="107.2512054"/>
    <n v="107.63999939999999"/>
    <n v="108.1800003"/>
    <n v="103.1200027"/>
    <n v="103.2200012"/>
    <x v="774"/>
  </r>
  <r>
    <x v="781"/>
    <x v="4"/>
    <x v="1"/>
    <x v="3"/>
    <s v="Q1"/>
    <n v="99.011085510000001"/>
    <n v="99.370002749999998"/>
    <n v="103.13999939999999"/>
    <n v="98.040000919999997"/>
    <n v="102.0500031"/>
    <x v="775"/>
  </r>
  <r>
    <x v="782"/>
    <x v="5"/>
    <x v="1"/>
    <x v="3"/>
    <s v="Q1"/>
    <n v="94.666824340000005"/>
    <n v="95.010002139999997"/>
    <n v="100.0299988"/>
    <n v="93.629997250000002"/>
    <n v="100"/>
    <x v="776"/>
  </r>
  <r>
    <x v="783"/>
    <x v="6"/>
    <x v="1"/>
    <x v="3"/>
    <s v="Q1"/>
    <n v="94.228408810000005"/>
    <n v="94.569999690000003"/>
    <n v="96.75"/>
    <n v="94.25"/>
    <n v="95.449996949999999"/>
    <x v="777"/>
  </r>
  <r>
    <x v="784"/>
    <x v="7"/>
    <x v="1"/>
    <x v="3"/>
    <s v="Q1"/>
    <n v="94.268264770000002"/>
    <n v="94.61000061"/>
    <n v="95.199996949999999"/>
    <n v="93.839996339999999"/>
    <n v="94.739997860000003"/>
    <x v="778"/>
  </r>
  <r>
    <x v="785"/>
    <x v="8"/>
    <x v="1"/>
    <x v="3"/>
    <s v="Q1"/>
    <n v="94.338020319999998"/>
    <n v="94.680000309999997"/>
    <n v="94.849998470000003"/>
    <n v="92.260002139999997"/>
    <n v="94.430000309999997"/>
    <x v="779"/>
  </r>
  <r>
    <x v="786"/>
    <x v="9"/>
    <x v="1"/>
    <x v="3"/>
    <s v="Q1"/>
    <n v="96.589851379999999"/>
    <n v="96.940002440000001"/>
    <n v="97.120002749999998"/>
    <n v="94.150001529999997"/>
    <n v="94.489997860000003"/>
    <x v="780"/>
  </r>
  <r>
    <x v="787"/>
    <x v="10"/>
    <x v="1"/>
    <x v="3"/>
    <s v="Q1"/>
    <n v="95.165016170000001"/>
    <n v="95.510002139999997"/>
    <n v="97.680000309999997"/>
    <n v="94.739997860000003"/>
    <n v="95.370002749999998"/>
    <x v="781"/>
  </r>
  <r>
    <x v="788"/>
    <x v="11"/>
    <x v="1"/>
    <x v="3"/>
    <s v="Q1"/>
    <n v="94.00920868"/>
    <n v="94.349998470000003"/>
    <n v="95.559997559999999"/>
    <n v="93.209999080000003"/>
    <n v="94.849998470000003"/>
    <x v="782"/>
  </r>
  <r>
    <x v="789"/>
    <x v="12"/>
    <x v="1"/>
    <x v="3"/>
    <s v="Q1"/>
    <n v="91.458457949999996"/>
    <n v="91.790000919999997"/>
    <n v="93.099998470000003"/>
    <n v="91.72000122"/>
    <n v="93"/>
    <x v="783"/>
  </r>
  <r>
    <x v="790"/>
    <x v="13"/>
    <x v="1"/>
    <x v="3"/>
    <s v="Q1"/>
    <n v="91.318962099999993"/>
    <n v="91.650001529999997"/>
    <n v="92.11000061"/>
    <n v="90.61000061"/>
    <n v="91.699996949999999"/>
    <x v="784"/>
  </r>
  <r>
    <x v="791"/>
    <x v="14"/>
    <x v="1"/>
    <x v="3"/>
    <s v="Q1"/>
    <n v="90.561706540000003"/>
    <n v="90.88999939"/>
    <n v="91.940002440000001"/>
    <n v="89.760002139999997"/>
    <n v="91.91999817"/>
    <x v="785"/>
  </r>
  <r>
    <x v="792"/>
    <x v="15"/>
    <x v="1"/>
    <x v="3"/>
    <s v="Q1"/>
    <n v="88.808059689999993"/>
    <n v="89.129997250000002"/>
    <n v="89.88999939"/>
    <n v="88.58000183"/>
    <n v="89.440002440000001"/>
    <x v="786"/>
  </r>
  <r>
    <x v="793"/>
    <x v="16"/>
    <x v="1"/>
    <x v="3"/>
    <s v="Q1"/>
    <n v="89.545394900000005"/>
    <n v="89.870002749999998"/>
    <n v="90.160003660000001"/>
    <n v="89.339996339999999"/>
    <n v="89.870002749999998"/>
    <x v="787"/>
  </r>
  <r>
    <x v="794"/>
    <x v="30"/>
    <x v="2"/>
    <x v="3"/>
    <s v="Q1"/>
    <n v="89.734703060000001"/>
    <n v="90.059997559999999"/>
    <n v="91.230003359999998"/>
    <n v="89.319999690000003"/>
    <n v="89.33000183"/>
    <x v="788"/>
  </r>
  <r>
    <x v="795"/>
    <x v="29"/>
    <x v="2"/>
    <x v="3"/>
    <s v="Q1"/>
    <n v="90.033622739999998"/>
    <n v="90.36000061"/>
    <n v="91.02999878"/>
    <n v="89.66999817"/>
    <n v="89.980003359999998"/>
    <x v="789"/>
  </r>
  <r>
    <x v="796"/>
    <x v="0"/>
    <x v="2"/>
    <x v="3"/>
    <s v="Q1"/>
    <n v="91.667694089999998"/>
    <n v="92"/>
    <n v="92.27999878"/>
    <n v="89.589996339999999"/>
    <n v="89.660003660000001"/>
    <x v="790"/>
  </r>
  <r>
    <x v="797"/>
    <x v="1"/>
    <x v="2"/>
    <x v="3"/>
    <s v="Q1"/>
    <n v="93.311737059999999"/>
    <n v="93.650001529999997"/>
    <n v="93.730003359999998"/>
    <n v="92.449996949999999"/>
    <n v="92.480003359999998"/>
    <x v="791"/>
  </r>
  <r>
    <x v="798"/>
    <x v="2"/>
    <x v="2"/>
    <x v="3"/>
    <s v="Q1"/>
    <n v="94.786384580000004"/>
    <n v="95.129997250000002"/>
    <n v="95.97000122"/>
    <n v="94"/>
    <n v="94.019996640000002"/>
    <x v="792"/>
  </r>
  <r>
    <x v="799"/>
    <x v="3"/>
    <x v="2"/>
    <x v="3"/>
    <s v="Q1"/>
    <n v="93.520988459999998"/>
    <n v="93.86000061"/>
    <n v="95.66999817"/>
    <n v="93.52999878"/>
    <n v="94.980003359999998"/>
    <x v="793"/>
  </r>
  <r>
    <x v="800"/>
    <x v="4"/>
    <x v="2"/>
    <x v="3"/>
    <s v="Q1"/>
    <n v="93.909568789999994"/>
    <n v="94.25"/>
    <n v="95.959999080000003"/>
    <n v="94"/>
    <n v="94.120002749999998"/>
    <x v="794"/>
  </r>
  <r>
    <x v="801"/>
    <x v="5"/>
    <x v="2"/>
    <x v="3"/>
    <s v="Q1"/>
    <n v="91.986541750000001"/>
    <n v="92.319999690000003"/>
    <n v="95.52999878"/>
    <n v="91.900001529999997"/>
    <n v="94.050003050000001"/>
    <x v="795"/>
  </r>
  <r>
    <x v="802"/>
    <x v="6"/>
    <x v="2"/>
    <x v="3"/>
    <s v="Q1"/>
    <n v="90.302642820000003"/>
    <n v="90.629997250000002"/>
    <n v="92.790000919999997"/>
    <n v="90.400001529999997"/>
    <n v="92.16999817"/>
    <x v="796"/>
  </r>
  <r>
    <x v="803"/>
    <x v="7"/>
    <x v="2"/>
    <x v="3"/>
    <s v="Q1"/>
    <n v="90.78091431"/>
    <n v="91.11000061"/>
    <n v="92.569999690000003"/>
    <n v="89.41999817"/>
    <n v="90.089996339999999"/>
    <x v="797"/>
  </r>
  <r>
    <x v="804"/>
    <x v="8"/>
    <x v="2"/>
    <x v="3"/>
    <s v="Q1"/>
    <n v="93.630584720000002"/>
    <n v="93.97000122"/>
    <n v="94.36000061"/>
    <n v="92.440002440000001"/>
    <n v="92.559997559999999"/>
    <x v="798"/>
  </r>
  <r>
    <x v="805"/>
    <x v="9"/>
    <x v="2"/>
    <x v="3"/>
    <s v="Q1"/>
    <n v="95.762847899999997"/>
    <n v="96.11000061"/>
    <n v="96.930000309999997"/>
    <n v="92.63999939"/>
    <n v="93.22000122"/>
    <x v="799"/>
  </r>
  <r>
    <x v="806"/>
    <x v="10"/>
    <x v="2"/>
    <x v="3"/>
    <s v="Q1"/>
    <n v="99.957641600000002"/>
    <n v="100.3199997"/>
    <n v="101.1900024"/>
    <n v="95.5"/>
    <n v="96.199996949999999"/>
    <x v="800"/>
  </r>
  <r>
    <x v="807"/>
    <x v="26"/>
    <x v="2"/>
    <x v="3"/>
    <s v="Q1"/>
    <n v="101.2529449"/>
    <n v="101.6200027"/>
    <n v="102.8399963"/>
    <n v="100.0999985"/>
    <n v="100.26000209999999"/>
    <x v="801"/>
  </r>
  <r>
    <x v="808"/>
    <x v="11"/>
    <x v="2"/>
    <x v="3"/>
    <s v="Q1"/>
    <n v="100.854393"/>
    <n v="101.2200012"/>
    <n v="101.75"/>
    <n v="99.870002749999998"/>
    <n v="100.1200027"/>
    <x v="802"/>
  </r>
  <r>
    <x v="809"/>
    <x v="12"/>
    <x v="2"/>
    <x v="3"/>
    <s v="Q1"/>
    <n v="104.5410309"/>
    <n v="104.91999819999999"/>
    <n v="105.0999985"/>
    <n v="101.2200012"/>
    <n v="101.25"/>
    <x v="803"/>
  </r>
  <r>
    <x v="810"/>
    <x v="13"/>
    <x v="2"/>
    <x v="3"/>
    <s v="Q1"/>
    <n v="102.9966354"/>
    <n v="103.3700027"/>
    <n v="106.5899963"/>
    <n v="103.33000180000001"/>
    <n v="104.2699966"/>
    <x v="804"/>
  </r>
  <r>
    <x v="811"/>
    <x v="14"/>
    <x v="2"/>
    <x v="3"/>
    <s v="Q1"/>
    <n v="105.2185745"/>
    <n v="105.5999985"/>
    <n v="106.3000031"/>
    <n v="104.4599991"/>
    <n v="105.0599976"/>
    <x v="805"/>
  </r>
  <r>
    <x v="812"/>
    <x v="15"/>
    <x v="2"/>
    <x v="3"/>
    <s v="Q1"/>
    <n v="105.05915830000001"/>
    <n v="105.4400024"/>
    <n v="105.48999790000001"/>
    <n v="103.8399963"/>
    <n v="104.98999790000001"/>
    <x v="806"/>
  </r>
  <r>
    <x v="813"/>
    <x v="16"/>
    <x v="2"/>
    <x v="3"/>
    <s v="Q1"/>
    <n v="102.08992000000001"/>
    <n v="102.4599991"/>
    <n v="104.76000209999999"/>
    <n v="101.9300003"/>
    <n v="104.6200027"/>
    <x v="807"/>
  </r>
  <r>
    <x v="814"/>
    <x v="17"/>
    <x v="2"/>
    <x v="3"/>
    <s v="Q1"/>
    <n v="100.6650848"/>
    <n v="101.0299988"/>
    <n v="102.4499969"/>
    <n v="99.739997860000003"/>
    <n v="102.4400024"/>
    <x v="808"/>
  </r>
  <r>
    <x v="815"/>
    <x v="18"/>
    <x v="2"/>
    <x v="3"/>
    <s v="Q1"/>
    <n v="101.0237808"/>
    <n v="101.38999939999999"/>
    <n v="102.48999790000001"/>
    <n v="100.6500015"/>
    <n v="102.2799988"/>
    <x v="809"/>
  </r>
  <r>
    <x v="816"/>
    <x v="19"/>
    <x v="2"/>
    <x v="3"/>
    <s v="Q1"/>
    <n v="100.525589"/>
    <n v="100.88999939999999"/>
    <n v="101.1600037"/>
    <n v="99.77999878"/>
    <n v="100.9100037"/>
    <x v="810"/>
  </r>
  <r>
    <x v="817"/>
    <x v="0"/>
    <x v="3"/>
    <x v="3"/>
    <s v="Q2"/>
    <n v="103.3553314"/>
    <n v="103.7300034"/>
    <n v="103.88999939999999"/>
    <n v="101.0400009"/>
    <n v="101.3000031"/>
    <x v="811"/>
  </r>
  <r>
    <x v="818"/>
    <x v="20"/>
    <x v="3"/>
    <x v="3"/>
    <s v="Q2"/>
    <n v="103.9830551"/>
    <n v="104.36000060000001"/>
    <n v="104.5299988"/>
    <n v="101.9300003"/>
    <n v="102.38999939999999"/>
    <x v="812"/>
  </r>
  <r>
    <x v="819"/>
    <x v="21"/>
    <x v="3"/>
    <x v="3"/>
    <s v="Q2"/>
    <n v="104.3417511"/>
    <n v="104.7200012"/>
    <n v="105.58000180000001"/>
    <n v="104.0400009"/>
    <n v="104.33000180000001"/>
    <x v="813"/>
  </r>
  <r>
    <x v="820"/>
    <x v="1"/>
    <x v="3"/>
    <x v="3"/>
    <s v="Q2"/>
    <n v="104.092659"/>
    <n v="104.4700012"/>
    <n v="106.0999985"/>
    <n v="103.6600037"/>
    <n v="105.7799988"/>
    <x v="814"/>
  </r>
  <r>
    <x v="821"/>
    <x v="5"/>
    <x v="3"/>
    <x v="3"/>
    <s v="Q2"/>
    <n v="108.028389"/>
    <n v="108.41999819999999"/>
    <n v="109.16999819999999"/>
    <n v="104.33000180000001"/>
    <n v="105.26000209999999"/>
    <x v="815"/>
  </r>
  <r>
    <x v="822"/>
    <x v="22"/>
    <x v="3"/>
    <x v="3"/>
    <s v="Q2"/>
    <n v="106.055542"/>
    <n v="106.4400024"/>
    <n v="107.5899963"/>
    <n v="105.1200027"/>
    <n v="106.9800034"/>
    <x v="816"/>
  </r>
  <r>
    <x v="823"/>
    <x v="23"/>
    <x v="3"/>
    <x v="3"/>
    <s v="Q2"/>
    <n v="104.9694748"/>
    <n v="105.3499985"/>
    <n v="106.7300034"/>
    <n v="104.6800003"/>
    <n v="106.5500031"/>
    <x v="817"/>
  </r>
  <r>
    <x v="824"/>
    <x v="6"/>
    <x v="3"/>
    <x v="3"/>
    <s v="Q2"/>
    <n v="104.2620392"/>
    <n v="104.63999939999999"/>
    <n v="106.75"/>
    <n v="104.3399963"/>
    <n v="106.58000180000001"/>
    <x v="818"/>
  </r>
  <r>
    <x v="825"/>
    <x v="7"/>
    <x v="3"/>
    <x v="3"/>
    <s v="Q2"/>
    <n v="107.0419617"/>
    <n v="107.4300003"/>
    <n v="107.48999790000001"/>
    <n v="105.8399963"/>
    <n v="105.8399963"/>
    <x v="819"/>
  </r>
  <r>
    <x v="826"/>
    <x v="10"/>
    <x v="3"/>
    <x v="3"/>
    <s v="Q2"/>
    <n v="108.4767609"/>
    <n v="108.8700027"/>
    <n v="108.9400024"/>
    <n v="106.8399963"/>
    <n v="106.88999939999999"/>
    <x v="820"/>
  </r>
  <r>
    <x v="827"/>
    <x v="24"/>
    <x v="3"/>
    <x v="3"/>
    <s v="Q2"/>
    <n v="105.5872421"/>
    <n v="105.9700012"/>
    <n v="106.1600037"/>
    <n v="104.5199966"/>
    <n v="104.6600037"/>
    <x v="821"/>
  </r>
  <r>
    <x v="828"/>
    <x v="25"/>
    <x v="3"/>
    <x v="3"/>
    <s v="Q2"/>
    <n v="104.122551"/>
    <n v="104.5"/>
    <n v="106.5400009"/>
    <n v="104.0699997"/>
    <n v="106.48999790000001"/>
    <x v="822"/>
  </r>
  <r>
    <x v="829"/>
    <x v="26"/>
    <x v="3"/>
    <x v="3"/>
    <s v="Q2"/>
    <n v="103.8037033"/>
    <n v="104.1800003"/>
    <n v="104.9800034"/>
    <n v="103.0699997"/>
    <n v="103.58000180000001"/>
    <x v="823"/>
  </r>
  <r>
    <x v="830"/>
    <x v="11"/>
    <x v="3"/>
    <x v="3"/>
    <s v="Q2"/>
    <n v="104.9096985"/>
    <n v="105.2900009"/>
    <n v="106.25"/>
    <n v="103.8700027"/>
    <n v="103.9100037"/>
    <x v="824"/>
  </r>
  <r>
    <x v="831"/>
    <x v="14"/>
    <x v="3"/>
    <x v="3"/>
    <s v="Q2"/>
    <n v="105.0292664"/>
    <n v="105.4100037"/>
    <n v="106"/>
    <n v="104.7799988"/>
    <n v="105.4700012"/>
    <x v="825"/>
  </r>
  <r>
    <x v="832"/>
    <x v="27"/>
    <x v="3"/>
    <x v="3"/>
    <s v="Q2"/>
    <n v="105.5872421"/>
    <n v="105.9700012"/>
    <n v="106.6299973"/>
    <n v="104.6999969"/>
    <n v="105.48999790000001"/>
    <x v="826"/>
  </r>
  <r>
    <x v="833"/>
    <x v="28"/>
    <x v="3"/>
    <x v="3"/>
    <s v="Q2"/>
    <n v="103.4748917"/>
    <n v="103.8499985"/>
    <n v="106.6900024"/>
    <n v="103.8399963"/>
    <n v="105.83000180000001"/>
    <x v="827"/>
  </r>
  <r>
    <x v="834"/>
    <x v="15"/>
    <x v="3"/>
    <x v="3"/>
    <s v="Q2"/>
    <n v="103.3354034"/>
    <n v="103.7099991"/>
    <n v="106.3499985"/>
    <n v="102.6299973"/>
    <n v="104.91999819999999"/>
    <x v="828"/>
  </r>
  <r>
    <x v="835"/>
    <x v="16"/>
    <x v="3"/>
    <x v="3"/>
    <s v="Q2"/>
    <n v="107.2013855"/>
    <n v="107.5899963"/>
    <n v="108.3700027"/>
    <n v="103.5400009"/>
    <n v="104.4499969"/>
    <x v="829"/>
  </r>
  <r>
    <x v="836"/>
    <x v="30"/>
    <x v="4"/>
    <x v="3"/>
    <s v="Q2"/>
    <n v="106.9522858"/>
    <n v="107.3399963"/>
    <n v="107.3499985"/>
    <n v="105.0899963"/>
    <n v="107.0400009"/>
    <x v="830"/>
  </r>
  <r>
    <x v="837"/>
    <x v="29"/>
    <x v="4"/>
    <x v="3"/>
    <s v="Q2"/>
    <n v="106.8127899"/>
    <n v="107.1999969"/>
    <n v="107.98999790000001"/>
    <n v="106.8199997"/>
    <n v="106.8399963"/>
    <x v="831"/>
  </r>
  <r>
    <x v="838"/>
    <x v="0"/>
    <x v="4"/>
    <x v="3"/>
    <s v="Q2"/>
    <n v="104.9395828"/>
    <n v="105.3199997"/>
    <n v="107.1999969"/>
    <n v="103.7099991"/>
    <n v="107.13999939999999"/>
    <x v="832"/>
  </r>
  <r>
    <x v="839"/>
    <x v="20"/>
    <x v="4"/>
    <x v="3"/>
    <s v="Q2"/>
    <n v="105.0292664"/>
    <n v="105.4100037"/>
    <n v="107.48999790000001"/>
    <n v="104.9599991"/>
    <n v="105.5299988"/>
    <x v="833"/>
  </r>
  <r>
    <x v="840"/>
    <x v="21"/>
    <x v="4"/>
    <x v="3"/>
    <s v="Q2"/>
    <n v="104.3118668"/>
    <n v="104.6900024"/>
    <n v="105.5999985"/>
    <n v="103.9700012"/>
    <n v="105.48999790000001"/>
    <x v="834"/>
  </r>
  <r>
    <x v="841"/>
    <x v="3"/>
    <x v="4"/>
    <x v="3"/>
    <s v="Q2"/>
    <n v="105.18868260000001"/>
    <n v="105.5699997"/>
    <n v="105.8799973"/>
    <n v="104.11000060000001"/>
    <n v="104.8199997"/>
    <x v="835"/>
  </r>
  <r>
    <x v="842"/>
    <x v="4"/>
    <x v="4"/>
    <x v="3"/>
    <s v="Q2"/>
    <n v="107.3807297"/>
    <n v="107.7699966"/>
    <n v="107.9599991"/>
    <n v="105.1600037"/>
    <n v="105.1800003"/>
    <x v="836"/>
  </r>
  <r>
    <x v="843"/>
    <x v="5"/>
    <x v="4"/>
    <x v="3"/>
    <s v="Q2"/>
    <n v="106.9622498"/>
    <n v="107.3499985"/>
    <n v="110.1500015"/>
    <n v="107.1900024"/>
    <n v="108.38999939999999"/>
    <x v="837"/>
  </r>
  <r>
    <x v="844"/>
    <x v="22"/>
    <x v="4"/>
    <x v="3"/>
    <s v="Q2"/>
    <n v="111.3463593"/>
    <n v="111.75"/>
    <n v="112.9400024"/>
    <n v="107.9300003"/>
    <n v="107.9700012"/>
    <x v="838"/>
  </r>
  <r>
    <x v="845"/>
    <x v="23"/>
    <x v="4"/>
    <x v="3"/>
    <s v="Q2"/>
    <n v="116.14895629999999"/>
    <n v="116.5699997"/>
    <n v="117.91999819999999"/>
    <n v="114.4100037"/>
    <n v="115.4000015"/>
    <x v="839"/>
  </r>
  <r>
    <x v="846"/>
    <x v="8"/>
    <x v="4"/>
    <x v="3"/>
    <s v="Q2"/>
    <n v="117.085556"/>
    <n v="117.51000209999999"/>
    <n v="118.0299988"/>
    <n v="116.11000060000001"/>
    <n v="116.6800003"/>
    <x v="840"/>
  </r>
  <r>
    <x v="847"/>
    <x v="9"/>
    <x v="4"/>
    <x v="3"/>
    <s v="Q2"/>
    <n v="116.0891724"/>
    <n v="116.51000209999999"/>
    <n v="118.4800034"/>
    <n v="116.01000209999999"/>
    <n v="116.11000060000001"/>
    <x v="841"/>
  </r>
  <r>
    <x v="848"/>
    <x v="10"/>
    <x v="4"/>
    <x v="3"/>
    <s v="Q2"/>
    <n v="119.07833100000001"/>
    <n v="119.51000209999999"/>
    <n v="120.75"/>
    <n v="116.4300003"/>
    <n v="116.48999790000001"/>
    <x v="842"/>
  </r>
  <r>
    <x v="849"/>
    <x v="24"/>
    <x v="4"/>
    <x v="3"/>
    <s v="Q2"/>
    <n v="120.4035263"/>
    <n v="120.8399963"/>
    <n v="121.66999819999999"/>
    <n v="118.88999939999999"/>
    <n v="119.61000060000001"/>
    <x v="843"/>
  </r>
  <r>
    <x v="850"/>
    <x v="25"/>
    <x v="4"/>
    <x v="3"/>
    <s v="Q2"/>
    <n v="122.38633729999999"/>
    <n v="122.83000180000001"/>
    <n v="123.3099976"/>
    <n v="120.83000180000001"/>
    <n v="120.9499969"/>
    <x v="844"/>
  </r>
  <r>
    <x v="851"/>
    <x v="12"/>
    <x v="4"/>
    <x v="3"/>
    <s v="Q2"/>
    <n v="122.316597"/>
    <n v="122.76000209999999"/>
    <n v="125.9700012"/>
    <n v="122.1500015"/>
    <n v="123.5500031"/>
    <x v="845"/>
  </r>
  <r>
    <x v="852"/>
    <x v="13"/>
    <x v="4"/>
    <x v="3"/>
    <s v="Q2"/>
    <n v="124.5983276"/>
    <n v="125.0500031"/>
    <n v="126.4300003"/>
    <n v="122.73999790000001"/>
    <n v="122.9400024"/>
    <x v="846"/>
  </r>
  <r>
    <x v="853"/>
    <x v="14"/>
    <x v="4"/>
    <x v="3"/>
    <s v="Q2"/>
    <n v="122.1173096"/>
    <n v="122.5599976"/>
    <n v="124.6299973"/>
    <n v="122.2099991"/>
    <n v="124.1600037"/>
    <x v="847"/>
  </r>
  <r>
    <x v="854"/>
    <x v="27"/>
    <x v="4"/>
    <x v="3"/>
    <s v="Q2"/>
    <n v="120.4633102"/>
    <n v="120.9000015"/>
    <n v="121.9100037"/>
    <n v="119.86000060000001"/>
    <n v="121.1200027"/>
    <x v="848"/>
  </r>
  <r>
    <x v="855"/>
    <x v="28"/>
    <x v="4"/>
    <x v="3"/>
    <s v="Q2"/>
    <n v="123.03399659999999"/>
    <n v="123.4800034"/>
    <n v="125.3199997"/>
    <n v="121.9599991"/>
    <n v="124.5199966"/>
    <x v="849"/>
  </r>
  <r>
    <x v="856"/>
    <x v="18"/>
    <x v="4"/>
    <x v="3"/>
    <s v="Q2"/>
    <n v="124.1599197"/>
    <n v="124.61000060000001"/>
    <n v="125.26000209999999"/>
    <n v="122.4499969"/>
    <n v="123.16999819999999"/>
    <x v="850"/>
  </r>
  <r>
    <x v="857"/>
    <x v="19"/>
    <x v="4"/>
    <x v="3"/>
    <s v="Q2"/>
    <n v="123.2233047"/>
    <n v="123.66999819999999"/>
    <n v="125.6600037"/>
    <n v="122"/>
    <n v="125.63999939999999"/>
    <x v="851"/>
  </r>
  <r>
    <x v="858"/>
    <x v="30"/>
    <x v="5"/>
    <x v="3"/>
    <s v="Q2"/>
    <n v="122.4261932"/>
    <n v="122.8700027"/>
    <n v="124.0599976"/>
    <n v="122.5"/>
    <n v="122.75"/>
    <x v="852"/>
  </r>
  <r>
    <x v="859"/>
    <x v="29"/>
    <x v="5"/>
    <x v="3"/>
    <s v="Q2"/>
    <n v="123.2731247"/>
    <n v="123.7200012"/>
    <n v="124.41999819999999"/>
    <n v="122.6200027"/>
    <n v="122.8199997"/>
    <x v="853"/>
  </r>
  <r>
    <x v="860"/>
    <x v="21"/>
    <x v="5"/>
    <x v="3"/>
    <s v="Q2"/>
    <n v="124.219696"/>
    <n v="124.66999819999999"/>
    <n v="126.1500015"/>
    <n v="123.76000209999999"/>
    <n v="123.98999790000001"/>
    <x v="854"/>
  </r>
  <r>
    <x v="861"/>
    <x v="1"/>
    <x v="5"/>
    <x v="3"/>
    <s v="Q2"/>
    <n v="125.554863"/>
    <n v="126.01000209999999"/>
    <n v="127.4300003"/>
    <n v="123.8399963"/>
    <n v="124.01000209999999"/>
    <x v="855"/>
  </r>
  <r>
    <x v="862"/>
    <x v="2"/>
    <x v="5"/>
    <x v="3"/>
    <s v="Q2"/>
    <n v="126.85015869999999"/>
    <n v="127.3099976"/>
    <n v="128.28999329999999"/>
    <n v="125.36000060000001"/>
    <n v="126.01000209999999"/>
    <x v="856"/>
  </r>
  <r>
    <x v="863"/>
    <x v="3"/>
    <x v="5"/>
    <x v="3"/>
    <s v="Q2"/>
    <n v="122.0575333"/>
    <n v="122.5"/>
    <n v="129.03999329999999"/>
    <n v="122.1200027"/>
    <n v="126.9700012"/>
    <x v="857"/>
  </r>
  <r>
    <x v="864"/>
    <x v="4"/>
    <x v="5"/>
    <x v="3"/>
    <s v="Q2"/>
    <n v="121.6988297"/>
    <n v="122.13999939999999"/>
    <n v="123.2300034"/>
    <n v="121.23999790000001"/>
    <n v="122.2300034"/>
    <x v="858"/>
  </r>
  <r>
    <x v="865"/>
    <x v="23"/>
    <x v="5"/>
    <x v="3"/>
    <s v="Q2"/>
    <n v="121.7885132"/>
    <n v="122.2300034"/>
    <n v="123.76000209999999"/>
    <n v="121.9100037"/>
    <n v="122.25"/>
    <x v="859"/>
  </r>
  <r>
    <x v="866"/>
    <x v="6"/>
    <x v="5"/>
    <x v="3"/>
    <s v="Q2"/>
    <n v="123.1934128"/>
    <n v="123.63999939999999"/>
    <n v="124.0500031"/>
    <n v="121.6600037"/>
    <n v="122.7900009"/>
    <x v="860"/>
  </r>
  <r>
    <x v="867"/>
    <x v="7"/>
    <x v="5"/>
    <x v="3"/>
    <s v="Q2"/>
    <n v="123.3827362"/>
    <n v="123.83000180000001"/>
    <n v="125.1600037"/>
    <n v="123.1800003"/>
    <n v="124.9800034"/>
    <x v="861"/>
  </r>
  <r>
    <x v="868"/>
    <x v="8"/>
    <x v="5"/>
    <x v="3"/>
    <s v="Q2"/>
    <n v="123.2233047"/>
    <n v="123.66999819999999"/>
    <n v="124.0500031"/>
    <n v="121.4499969"/>
    <n v="123.0999985"/>
    <x v="862"/>
  </r>
  <r>
    <x v="869"/>
    <x v="9"/>
    <x v="5"/>
    <x v="3"/>
    <s v="Q2"/>
    <n v="124.638176"/>
    <n v="125.0899963"/>
    <n v="125.4599991"/>
    <n v="122.4000015"/>
    <n v="123.13999939999999"/>
    <x v="863"/>
  </r>
  <r>
    <x v="870"/>
    <x v="26"/>
    <x v="5"/>
    <x v="3"/>
    <s v="Q2"/>
    <n v="123.08380889999999"/>
    <n v="123.5299988"/>
    <n v="126.11000060000001"/>
    <n v="123.2799988"/>
    <n v="125.9300003"/>
    <x v="864"/>
  </r>
  <r>
    <x v="871"/>
    <x v="11"/>
    <x v="5"/>
    <x v="3"/>
    <s v="Q2"/>
    <n v="122.655365"/>
    <n v="123.0999985"/>
    <n v="124.5699997"/>
    <n v="122.13999939999999"/>
    <n v="122.9300003"/>
    <x v="865"/>
  </r>
  <r>
    <x v="872"/>
    <x v="12"/>
    <x v="5"/>
    <x v="3"/>
    <s v="Q2"/>
    <n v="120.1145782"/>
    <n v="120.5500031"/>
    <n v="122.6600037"/>
    <n v="120.0999985"/>
    <n v="122.4000015"/>
    <x v="866"/>
  </r>
  <r>
    <x v="873"/>
    <x v="13"/>
    <x v="5"/>
    <x v="3"/>
    <s v="Q2"/>
    <n v="122.70518490000001"/>
    <n v="123.1500015"/>
    <n v="123.23999790000001"/>
    <n v="118.83000180000001"/>
    <n v="120"/>
    <x v="867"/>
  </r>
  <r>
    <x v="874"/>
    <x v="28"/>
    <x v="5"/>
    <x v="3"/>
    <s v="Q2"/>
    <n v="121.89810180000001"/>
    <n v="122.3399963"/>
    <n v="122.7900009"/>
    <n v="121.0599976"/>
    <n v="121.3799973"/>
    <x v="868"/>
  </r>
  <r>
    <x v="875"/>
    <x v="15"/>
    <x v="5"/>
    <x v="3"/>
    <s v="Q2"/>
    <n v="117.91254429999999"/>
    <n v="118.3399963"/>
    <n v="122"/>
    <n v="118.2699966"/>
    <n v="120.76000209999999"/>
    <x v="869"/>
  </r>
  <r>
    <x v="876"/>
    <x v="16"/>
    <x v="5"/>
    <x v="3"/>
    <s v="Q2"/>
    <n v="117.9025955"/>
    <n v="118.33000180000001"/>
    <n v="119.08000180000001"/>
    <n v="116.0999985"/>
    <n v="117.08000180000001"/>
    <x v="870"/>
  </r>
  <r>
    <x v="877"/>
    <x v="17"/>
    <x v="5"/>
    <x v="3"/>
    <s v="Q2"/>
    <n v="119.7459106"/>
    <n v="120.1800003"/>
    <n v="120.38999939999999"/>
    <n v="116.8499985"/>
    <n v="117.0899963"/>
    <x v="871"/>
  </r>
  <r>
    <x v="878"/>
    <x v="18"/>
    <x v="5"/>
    <x v="3"/>
    <s v="Q2"/>
    <n v="118.6698074"/>
    <n v="119.0999985"/>
    <n v="120.0599976"/>
    <n v="118.3000031"/>
    <n v="119.23999790000001"/>
    <x v="872"/>
  </r>
  <r>
    <x v="879"/>
    <x v="0"/>
    <x v="6"/>
    <x v="3"/>
    <s v="Q3"/>
    <n v="119.2676392"/>
    <n v="119.6999969"/>
    <n v="121.08000180000001"/>
    <n v="119.6900024"/>
    <n v="120.16999819999999"/>
    <x v="873"/>
  </r>
  <r>
    <x v="880"/>
    <x v="21"/>
    <x v="6"/>
    <x v="3"/>
    <s v="Q3"/>
    <n v="119.46692659999999"/>
    <n v="119.9000015"/>
    <n v="120.1900024"/>
    <n v="118.8199997"/>
    <n v="119.23999790000001"/>
    <x v="874"/>
  </r>
  <r>
    <x v="881"/>
    <x v="1"/>
    <x v="6"/>
    <x v="3"/>
    <s v="Q3"/>
    <n v="121.31024170000001"/>
    <n v="121.75"/>
    <n v="122.61000060000001"/>
    <n v="119.2300034"/>
    <n v="119.23999790000001"/>
    <x v="875"/>
  </r>
  <r>
    <x v="882"/>
    <x v="2"/>
    <x v="6"/>
    <x v="3"/>
    <s v="Q3"/>
    <n v="119.67616270000001"/>
    <n v="120.11000060000001"/>
    <n v="120.3000031"/>
    <n v="118.4000015"/>
    <n v="119.8000031"/>
    <x v="876"/>
  </r>
  <r>
    <x v="883"/>
    <x v="5"/>
    <x v="6"/>
    <x v="3"/>
    <s v="Q3"/>
    <n v="119.0484467"/>
    <n v="119.4800034"/>
    <n v="121.0500031"/>
    <n v="119.4000015"/>
    <n v="120.0999985"/>
    <x v="877"/>
  </r>
  <r>
    <x v="884"/>
    <x v="22"/>
    <x v="6"/>
    <x v="3"/>
    <s v="Q3"/>
    <n v="116.0293808"/>
    <n v="116.4499969"/>
    <n v="118.3099976"/>
    <n v="116.13999939999999"/>
    <n v="118.3000031"/>
    <x v="878"/>
  </r>
  <r>
    <x v="885"/>
    <x v="23"/>
    <x v="6"/>
    <x v="3"/>
    <s v="Q3"/>
    <n v="116.7168961"/>
    <n v="117.13999939999999"/>
    <n v="117.7099991"/>
    <n v="115.3499985"/>
    <n v="116.2900009"/>
    <x v="879"/>
  </r>
  <r>
    <x v="886"/>
    <x v="6"/>
    <x v="6"/>
    <x v="3"/>
    <s v="Q3"/>
    <n v="118.5004272"/>
    <n v="118.9300003"/>
    <n v="120.33000180000001"/>
    <n v="118.4100037"/>
    <n v="118.8000031"/>
    <x v="880"/>
  </r>
  <r>
    <x v="887"/>
    <x v="7"/>
    <x v="6"/>
    <x v="3"/>
    <s v="Q3"/>
    <n v="124.0901642"/>
    <n v="124.5400009"/>
    <n v="124.83000180000001"/>
    <n v="120.4499969"/>
    <n v="120.9300003"/>
    <x v="881"/>
  </r>
  <r>
    <x v="888"/>
    <x v="10"/>
    <x v="6"/>
    <x v="3"/>
    <s v="Q3"/>
    <n v="124.96698000000001"/>
    <n v="125.41999819999999"/>
    <n v="126.7799988"/>
    <n v="123.48999790000001"/>
    <n v="124.8000031"/>
    <x v="882"/>
  </r>
  <r>
    <x v="889"/>
    <x v="24"/>
    <x v="6"/>
    <x v="3"/>
    <s v="Q3"/>
    <n v="124.1997757"/>
    <n v="124.6500015"/>
    <n v="127.0999985"/>
    <n v="124.1999969"/>
    <n v="125.9400024"/>
    <x v="883"/>
  </r>
  <r>
    <x v="890"/>
    <x v="25"/>
    <x v="6"/>
    <x v="3"/>
    <s v="Q3"/>
    <n v="123.3129807"/>
    <n v="123.76000209999999"/>
    <n v="124.6800003"/>
    <n v="122.9599991"/>
    <n v="124.5999985"/>
    <x v="884"/>
  </r>
  <r>
    <x v="891"/>
    <x v="26"/>
    <x v="6"/>
    <x v="3"/>
    <s v="Q3"/>
    <n v="121.58922579999999"/>
    <n v="122.0299988"/>
    <n v="125.1800003"/>
    <n v="121.8000031"/>
    <n v="124.5999985"/>
    <x v="885"/>
  </r>
  <r>
    <x v="892"/>
    <x v="11"/>
    <x v="6"/>
    <x v="3"/>
    <s v="Q3"/>
    <n v="118.76943970000001"/>
    <n v="119.1999969"/>
    <n v="124.0899963"/>
    <n v="118.2200012"/>
    <n v="121.41999819999999"/>
    <x v="886"/>
  </r>
  <r>
    <x v="893"/>
    <x v="14"/>
    <x v="6"/>
    <x v="3"/>
    <s v="Q3"/>
    <n v="119.5864868"/>
    <n v="120.0199966"/>
    <n v="120.98999790000001"/>
    <n v="118.7300034"/>
    <n v="120.6200027"/>
    <x v="887"/>
  </r>
  <r>
    <x v="894"/>
    <x v="27"/>
    <x v="6"/>
    <x v="3"/>
    <s v="Q3"/>
    <n v="121.0910339"/>
    <n v="121.5299988"/>
    <n v="123"/>
    <n v="120.9800034"/>
    <n v="121.6600037"/>
    <x v="888"/>
  </r>
  <r>
    <x v="895"/>
    <x v="28"/>
    <x v="6"/>
    <x v="3"/>
    <s v="Q3"/>
    <n v="121.7685776"/>
    <n v="122.2099991"/>
    <n v="123.1500015"/>
    <n v="121.0199966"/>
    <n v="121.36000060000001"/>
    <x v="889"/>
  </r>
  <r>
    <x v="896"/>
    <x v="15"/>
    <x v="6"/>
    <x v="3"/>
    <s v="Q3"/>
    <n v="128.80308529999999"/>
    <n v="129.27000430000001"/>
    <n v="130.97999569999999"/>
    <n v="128.32000729999999"/>
    <n v="130.07000729999999"/>
    <x v="890"/>
  </r>
  <r>
    <x v="897"/>
    <x v="16"/>
    <x v="6"/>
    <x v="3"/>
    <s v="Q3"/>
    <n v="128.93260190000001"/>
    <n v="129.3999939"/>
    <n v="133.2400055"/>
    <n v="128.78999329999999"/>
    <n v="131.66999820000001"/>
    <x v="891"/>
  </r>
  <r>
    <x v="898"/>
    <x v="19"/>
    <x v="6"/>
    <x v="3"/>
    <s v="Q3"/>
    <n v="132.10112000000001"/>
    <n v="132.58000179999999"/>
    <n v="133.7400055"/>
    <n v="130.57000729999999"/>
    <n v="130.77999879999999"/>
    <x v="892"/>
  </r>
  <r>
    <x v="899"/>
    <x v="30"/>
    <x v="7"/>
    <x v="3"/>
    <s v="Q3"/>
    <n v="132.2406311"/>
    <n v="132.72000120000001"/>
    <n v="133.52999879999999"/>
    <n v="131.77999879999999"/>
    <n v="132.72999569999999"/>
    <x v="893"/>
  </r>
  <r>
    <x v="900"/>
    <x v="29"/>
    <x v="7"/>
    <x v="3"/>
    <s v="Q3"/>
    <n v="131.07484439999999"/>
    <n v="131.5500031"/>
    <n v="132.63000489999999"/>
    <n v="130.67999270000001"/>
    <n v="130.77999879999999"/>
    <x v="894"/>
  </r>
  <r>
    <x v="901"/>
    <x v="0"/>
    <x v="7"/>
    <x v="3"/>
    <s v="Q3"/>
    <n v="127.9162903"/>
    <n v="128.38000489999999"/>
    <n v="130.0899963"/>
    <n v="127.5599976"/>
    <n v="129.4499969"/>
    <x v="895"/>
  </r>
  <r>
    <x v="902"/>
    <x v="20"/>
    <x v="7"/>
    <x v="3"/>
    <s v="Q3"/>
    <n v="127.98603060000001"/>
    <n v="128.4499969"/>
    <n v="129.38999939999999"/>
    <n v="127.41999819999999"/>
    <n v="127.9700012"/>
    <x v="896"/>
  </r>
  <r>
    <x v="903"/>
    <x v="2"/>
    <x v="7"/>
    <x v="3"/>
    <s v="Q3"/>
    <n v="127.6472626"/>
    <n v="128.11000060000001"/>
    <n v="131.5099945"/>
    <n v="127.9100037"/>
    <n v="129.27999879999999"/>
    <x v="897"/>
  </r>
  <r>
    <x v="904"/>
    <x v="3"/>
    <x v="7"/>
    <x v="3"/>
    <s v="Q3"/>
    <n v="131.0549164"/>
    <n v="131.52999879999999"/>
    <n v="131.61000060000001"/>
    <n v="129.02000430000001"/>
    <n v="129.1600037"/>
    <x v="898"/>
  </r>
  <r>
    <x v="905"/>
    <x v="4"/>
    <x v="7"/>
    <x v="3"/>
    <s v="Q3"/>
    <n v="130.9253693"/>
    <n v="131.3999939"/>
    <n v="131.5099945"/>
    <n v="129.53999329999999"/>
    <n v="130.61999510000001"/>
    <x v="899"/>
  </r>
  <r>
    <x v="906"/>
    <x v="5"/>
    <x v="7"/>
    <x v="3"/>
    <s v="Q3"/>
    <n v="129.19166559999999"/>
    <n v="129.6600037"/>
    <n v="132.03999329999999"/>
    <n v="129"/>
    <n v="131.6600037"/>
    <x v="900"/>
  </r>
  <r>
    <x v="907"/>
    <x v="22"/>
    <x v="7"/>
    <x v="3"/>
    <s v="Q3"/>
    <n v="129.22157290000001"/>
    <n v="129.6900024"/>
    <n v="132.0500031"/>
    <n v="129.4499969"/>
    <n v="131.32000729999999"/>
    <x v="901"/>
  </r>
  <r>
    <x v="908"/>
    <x v="7"/>
    <x v="7"/>
    <x v="3"/>
    <s v="Q3"/>
    <n v="129.09202579999999"/>
    <n v="129.5599976"/>
    <n v="129.92999270000001"/>
    <n v="128.16999820000001"/>
    <n v="128.6600037"/>
    <x v="902"/>
  </r>
  <r>
    <x v="909"/>
    <x v="8"/>
    <x v="7"/>
    <x v="3"/>
    <s v="Q3"/>
    <n v="130.8556366"/>
    <n v="131.33000179999999"/>
    <n v="131.36999510000001"/>
    <n v="128.96000670000001"/>
    <n v="129.38999939999999"/>
    <x v="903"/>
  </r>
  <r>
    <x v="910"/>
    <x v="9"/>
    <x v="7"/>
    <x v="3"/>
    <s v="Q3"/>
    <n v="129.31123349999999"/>
    <n v="129.77999879999999"/>
    <n v="131.41999820000001"/>
    <n v="129.27999879999999"/>
    <n v="131.1000061"/>
    <x v="904"/>
  </r>
  <r>
    <x v="911"/>
    <x v="10"/>
    <x v="7"/>
    <x v="3"/>
    <s v="Q3"/>
    <n v="128.23513790000001"/>
    <n v="128.6999969"/>
    <n v="130.27999879999999"/>
    <n v="127.8700027"/>
    <n v="128.6999969"/>
    <x v="905"/>
  </r>
  <r>
    <x v="912"/>
    <x v="24"/>
    <x v="7"/>
    <x v="3"/>
    <s v="Q3"/>
    <n v="129.4507294"/>
    <n v="129.91999820000001"/>
    <n v="131.9900055"/>
    <n v="129.28999329999999"/>
    <n v="129.8000031"/>
    <x v="906"/>
  </r>
  <r>
    <x v="913"/>
    <x v="11"/>
    <x v="7"/>
    <x v="3"/>
    <s v="Q3"/>
    <n v="126.99961089999999"/>
    <n v="127.4599991"/>
    <n v="129.25"/>
    <n v="126.3799973"/>
    <n v="128.5099945"/>
    <x v="907"/>
  </r>
  <r>
    <x v="914"/>
    <x v="12"/>
    <x v="7"/>
    <x v="3"/>
    <s v="Q3"/>
    <n v="127.9063187"/>
    <n v="128.36999510000001"/>
    <n v="128.72999569999999"/>
    <n v="126.5599976"/>
    <n v="127.1800003"/>
    <x v="908"/>
  </r>
  <r>
    <x v="915"/>
    <x v="13"/>
    <x v="7"/>
    <x v="3"/>
    <s v="Q3"/>
    <n v="128.61376949999999"/>
    <n v="129.08000179999999"/>
    <n v="130.27999879999999"/>
    <n v="128.32000729999999"/>
    <n v="128.5099945"/>
    <x v="909"/>
  </r>
  <r>
    <x v="916"/>
    <x v="14"/>
    <x v="7"/>
    <x v="3"/>
    <s v="Q3"/>
    <n v="131.89187620000001"/>
    <n v="132.36999510000001"/>
    <n v="133.4100037"/>
    <n v="129.86999510000001"/>
    <n v="130.17999270000001"/>
    <x v="910"/>
  </r>
  <r>
    <x v="917"/>
    <x v="27"/>
    <x v="7"/>
    <x v="3"/>
    <s v="Q3"/>
    <n v="129.31123349999999"/>
    <n v="129.77999879999999"/>
    <n v="134.25"/>
    <n v="129.57000729999999"/>
    <n v="133.9499969"/>
    <x v="911"/>
  </r>
  <r>
    <x v="918"/>
    <x v="16"/>
    <x v="7"/>
    <x v="3"/>
    <s v="Q3"/>
    <n v="129.41087340000001"/>
    <n v="129.88000489999999"/>
    <n v="130.7599945"/>
    <n v="127.25"/>
    <n v="129.53999329999999"/>
    <x v="912"/>
  </r>
  <r>
    <x v="919"/>
    <x v="17"/>
    <x v="7"/>
    <x v="3"/>
    <s v="Q3"/>
    <n v="130.5367889"/>
    <n v="131.0099945"/>
    <n v="132.53999329999999"/>
    <n v="130.13999939999999"/>
    <n v="131.3099976"/>
    <x v="913"/>
  </r>
  <r>
    <x v="920"/>
    <x v="18"/>
    <x v="7"/>
    <x v="3"/>
    <s v="Q3"/>
    <n v="134.08393860000001"/>
    <n v="134.57000729999999"/>
    <n v="136.57000729999999"/>
    <n v="132.2400055"/>
    <n v="132.2400055"/>
    <x v="914"/>
  </r>
  <r>
    <x v="921"/>
    <x v="19"/>
    <x v="7"/>
    <x v="3"/>
    <s v="Q3"/>
    <n v="135.38922120000001"/>
    <n v="135.88000489999999"/>
    <n v="136.27999879999999"/>
    <n v="134.07000729999999"/>
    <n v="134.77999879999999"/>
    <x v="915"/>
  </r>
  <r>
    <x v="922"/>
    <x v="30"/>
    <x v="8"/>
    <x v="3"/>
    <s v="Q3"/>
    <n v="135.6781464"/>
    <n v="136.16999820000001"/>
    <n v="138"/>
    <n v="135.78999329999999"/>
    <n v="136.0099945"/>
    <x v="916"/>
  </r>
  <r>
    <x v="923"/>
    <x v="21"/>
    <x v="8"/>
    <x v="3"/>
    <s v="Q3"/>
    <n v="135.16999820000001"/>
    <n v="135.6600037"/>
    <n v="137.46000670000001"/>
    <n v="134.8500061"/>
    <n v="137.46000670000001"/>
    <x v="917"/>
  </r>
  <r>
    <x v="924"/>
    <x v="1"/>
    <x v="8"/>
    <x v="3"/>
    <s v="Q3"/>
    <n v="135.27960210000001"/>
    <n v="135.77000430000001"/>
    <n v="136.41999820000001"/>
    <n v="134.58000179999999"/>
    <n v="135.4400024"/>
    <x v="918"/>
  </r>
  <r>
    <x v="925"/>
    <x v="2"/>
    <x v="8"/>
    <x v="3"/>
    <s v="Q3"/>
    <n v="133.97433469999999"/>
    <n v="134.46000670000001"/>
    <n v="136.52999879999999"/>
    <n v="133.66999820000001"/>
    <n v="136.02000430000001"/>
    <x v="919"/>
  </r>
  <r>
    <x v="926"/>
    <x v="3"/>
    <x v="8"/>
    <x v="3"/>
    <s v="Q3"/>
    <n v="134.77142330000001"/>
    <n v="135.2599945"/>
    <n v="135.58000179999999"/>
    <n v="132.9499969"/>
    <n v="133.5899963"/>
    <x v="920"/>
  </r>
  <r>
    <x v="927"/>
    <x v="22"/>
    <x v="8"/>
    <x v="3"/>
    <s v="Q3"/>
    <n v="135.8873901"/>
    <n v="136.38000489999999"/>
    <n v="136.6600037"/>
    <n v="134.8500061"/>
    <n v="134.9100037"/>
    <x v="921"/>
  </r>
  <r>
    <x v="928"/>
    <x v="23"/>
    <x v="8"/>
    <x v="3"/>
    <s v="Q3"/>
    <n v="136.42544559999999"/>
    <n v="136.91999820000001"/>
    <n v="137.47999569999999"/>
    <n v="135.78999329999999"/>
    <n v="136.53999329999999"/>
    <x v="922"/>
  </r>
  <r>
    <x v="929"/>
    <x v="6"/>
    <x v="8"/>
    <x v="3"/>
    <s v="Q3"/>
    <n v="134.85113530000001"/>
    <n v="135.3399963"/>
    <n v="136.86999510000001"/>
    <n v="135.1900024"/>
    <n v="136.2599945"/>
    <x v="923"/>
  </r>
  <r>
    <x v="930"/>
    <x v="7"/>
    <x v="8"/>
    <x v="3"/>
    <s v="Q3"/>
    <n v="136.216217"/>
    <n v="136.71000670000001"/>
    <n v="136.8999939"/>
    <n v="134.1499939"/>
    <n v="135.0899963"/>
    <x v="924"/>
  </r>
  <r>
    <x v="931"/>
    <x v="8"/>
    <x v="8"/>
    <x v="3"/>
    <s v="Q3"/>
    <n v="137.601181"/>
    <n v="138.1000061"/>
    <n v="138.6999969"/>
    <n v="136.2400055"/>
    <n v="137.6000061"/>
    <x v="925"/>
  </r>
  <r>
    <x v="932"/>
    <x v="24"/>
    <x v="8"/>
    <x v="3"/>
    <s v="Q3"/>
    <n v="136.903717"/>
    <n v="137.3999939"/>
    <n v="138.52000430000001"/>
    <n v="136.47999569999999"/>
    <n v="137.97999569999999"/>
    <x v="926"/>
  </r>
  <r>
    <x v="933"/>
    <x v="25"/>
    <x v="8"/>
    <x v="3"/>
    <s v="Q3"/>
    <n v="137.71080019999999"/>
    <n v="138.21000670000001"/>
    <n v="139.1600037"/>
    <n v="136.61000060000001"/>
    <n v="136.61000060000001"/>
    <x v="927"/>
  </r>
  <r>
    <x v="934"/>
    <x v="26"/>
    <x v="8"/>
    <x v="3"/>
    <s v="Q3"/>
    <n v="137.54139710000001"/>
    <n v="138.03999329999999"/>
    <n v="138.4100037"/>
    <n v="136.61999510000001"/>
    <n v="137.41999820000001"/>
    <x v="928"/>
  </r>
  <r>
    <x v="935"/>
    <x v="11"/>
    <x v="8"/>
    <x v="3"/>
    <s v="Q3"/>
    <n v="133.25692749999999"/>
    <n v="133.7400055"/>
    <n v="138.08000179999999"/>
    <n v="133.61999510000001"/>
    <n v="138.08000179999999"/>
    <x v="929"/>
  </r>
  <r>
    <x v="936"/>
    <x v="12"/>
    <x v="8"/>
    <x v="3"/>
    <s v="Q3"/>
    <n v="129.9688568"/>
    <n v="130.4400024"/>
    <n v="132.22999569999999"/>
    <n v="130.07000729999999"/>
    <n v="131.4400024"/>
    <x v="930"/>
  </r>
  <r>
    <x v="937"/>
    <x v="27"/>
    <x v="8"/>
    <x v="3"/>
    <s v="Q3"/>
    <n v="129.77954099999999"/>
    <n v="130.25"/>
    <n v="132.02999879999999"/>
    <n v="129.6000061"/>
    <n v="130.7599945"/>
    <x v="931"/>
  </r>
  <r>
    <x v="938"/>
    <x v="28"/>
    <x v="8"/>
    <x v="3"/>
    <s v="Q3"/>
    <n v="130.6364288"/>
    <n v="131.11000060000001"/>
    <n v="131.16999820000001"/>
    <n v="128.96000670000001"/>
    <n v="129.83000179999999"/>
    <x v="932"/>
  </r>
  <r>
    <x v="939"/>
    <x v="15"/>
    <x v="8"/>
    <x v="3"/>
    <s v="Q3"/>
    <n v="128.1056213"/>
    <n v="128.57000729999999"/>
    <n v="130.36000060000001"/>
    <n v="127.2200012"/>
    <n v="129.77000430000001"/>
    <x v="933"/>
  </r>
  <r>
    <x v="940"/>
    <x v="16"/>
    <x v="8"/>
    <x v="3"/>
    <s v="Q3"/>
    <n v="130.0684814"/>
    <n v="130.53999329999999"/>
    <n v="130.8999939"/>
    <n v="128.57000729999999"/>
    <n v="128.57000729999999"/>
    <x v="934"/>
  </r>
  <r>
    <x v="941"/>
    <x v="17"/>
    <x v="8"/>
    <x v="3"/>
    <s v="Q3"/>
    <n v="131.8320923"/>
    <n v="132.3099976"/>
    <n v="133.3000031"/>
    <n v="129.78999329999999"/>
    <n v="129.8399963"/>
    <x v="935"/>
  </r>
  <r>
    <x v="942"/>
    <x v="29"/>
    <x v="9"/>
    <x v="3"/>
    <s v="Q4"/>
    <n v="130.38732909999999"/>
    <n v="130.86000060000001"/>
    <n v="134.0500031"/>
    <n v="130.36000060000001"/>
    <n v="133.27999879999999"/>
    <x v="936"/>
  </r>
  <r>
    <x v="943"/>
    <x v="0"/>
    <x v="9"/>
    <x v="3"/>
    <s v="Q4"/>
    <n v="133.68537900000001"/>
    <n v="134.16999820000001"/>
    <n v="134.41999820000001"/>
    <n v="131.16999820000001"/>
    <n v="131.21000670000001"/>
    <x v="234"/>
  </r>
  <r>
    <x v="944"/>
    <x v="20"/>
    <x v="9"/>
    <x v="3"/>
    <s v="Q4"/>
    <n v="131.95166019999999"/>
    <n v="132.42999270000001"/>
    <n v="134.2599945"/>
    <n v="131.8399963"/>
    <n v="133.9400024"/>
    <x v="937"/>
  </r>
  <r>
    <x v="945"/>
    <x v="21"/>
    <x v="9"/>
    <x v="3"/>
    <s v="Q4"/>
    <n v="134.75152589999999"/>
    <n v="135.2400055"/>
    <n v="135.57000729999999"/>
    <n v="132.52999879999999"/>
    <n v="132.78999329999999"/>
    <x v="938"/>
  </r>
  <r>
    <x v="946"/>
    <x v="1"/>
    <x v="9"/>
    <x v="3"/>
    <s v="Q4"/>
    <n v="134.58213810000001"/>
    <n v="135.07000729999999"/>
    <n v="135.4900055"/>
    <n v="133.4499969"/>
    <n v="135.07000729999999"/>
    <x v="939"/>
  </r>
  <r>
    <x v="947"/>
    <x v="4"/>
    <x v="9"/>
    <x v="3"/>
    <s v="Q4"/>
    <n v="137.0830536"/>
    <n v="137.58000179999999"/>
    <n v="138.1600037"/>
    <n v="134.0099945"/>
    <n v="134.0099945"/>
    <x v="940"/>
  </r>
  <r>
    <x v="948"/>
    <x v="5"/>
    <x v="9"/>
    <x v="3"/>
    <s v="Q4"/>
    <n v="137.92001339999999"/>
    <n v="138.41999820000001"/>
    <n v="138.9400024"/>
    <n v="135.61000060000001"/>
    <n v="136.9400024"/>
    <x v="941"/>
  </r>
  <r>
    <x v="949"/>
    <x v="22"/>
    <x v="9"/>
    <x v="3"/>
    <s v="Q4"/>
    <n v="137.5613251"/>
    <n v="138.0599976"/>
    <n v="139.72000120000001"/>
    <n v="137.33000179999999"/>
    <n v="138.5"/>
    <x v="942"/>
  </r>
  <r>
    <x v="950"/>
    <x v="23"/>
    <x v="9"/>
    <x v="3"/>
    <s v="Q4"/>
    <n v="140.04234310000001"/>
    <n v="140.5500031"/>
    <n v="141.11000060000001"/>
    <n v="138.58000179999999"/>
    <n v="138.58000179999999"/>
    <x v="943"/>
  </r>
  <r>
    <x v="951"/>
    <x v="6"/>
    <x v="9"/>
    <x v="3"/>
    <s v="Q4"/>
    <n v="138.4680481"/>
    <n v="138.97000120000001"/>
    <n v="141.22000120000001"/>
    <n v="138.2599945"/>
    <n v="141.0500031"/>
    <x v="944"/>
  </r>
  <r>
    <x v="952"/>
    <x v="9"/>
    <x v="9"/>
    <x v="3"/>
    <s v="Q4"/>
    <n v="136.86386110000001"/>
    <n v="137.36000060000001"/>
    <n v="140"/>
    <n v="136.61999510000001"/>
    <n v="139.38000489999999"/>
    <x v="945"/>
  </r>
  <r>
    <x v="953"/>
    <x v="10"/>
    <x v="9"/>
    <x v="3"/>
    <s v="Q4"/>
    <n v="138.59756469999999"/>
    <n v="139.1000061"/>
    <n v="139.63000489999999"/>
    <n v="137.9900055"/>
    <n v="138.16999820000001"/>
    <x v="946"/>
  </r>
  <r>
    <x v="954"/>
    <x v="24"/>
    <x v="9"/>
    <x v="3"/>
    <s v="Q4"/>
    <n v="139.21534729999999"/>
    <n v="139.72000120000001"/>
    <n v="139.8999939"/>
    <n v="137.17999270000001"/>
    <n v="138.63000489999999"/>
    <x v="947"/>
  </r>
  <r>
    <x v="955"/>
    <x v="25"/>
    <x v="9"/>
    <x v="3"/>
    <s v="Q4"/>
    <n v="137.46170040000001"/>
    <n v="137.96000670000001"/>
    <n v="140.72000120000001"/>
    <n v="137.38000489999999"/>
    <n v="139.4499969"/>
    <x v="948"/>
  </r>
  <r>
    <x v="956"/>
    <x v="26"/>
    <x v="9"/>
    <x v="3"/>
    <s v="Q4"/>
    <n v="137.25245670000001"/>
    <n v="137.75"/>
    <n v="139.6600037"/>
    <n v="137.38000489999999"/>
    <n v="138.5"/>
    <x v="949"/>
  </r>
  <r>
    <x v="957"/>
    <x v="13"/>
    <x v="9"/>
    <x v="3"/>
    <s v="Q4"/>
    <n v="135.1102295"/>
    <n v="135.6000061"/>
    <n v="137.86999510000001"/>
    <n v="135.08000179999999"/>
    <n v="137.33000179999999"/>
    <x v="950"/>
  </r>
  <r>
    <x v="958"/>
    <x v="14"/>
    <x v="9"/>
    <x v="3"/>
    <s v="Q4"/>
    <n v="136.006958"/>
    <n v="136.5"/>
    <n v="137.6600037"/>
    <n v="133.9499969"/>
    <n v="135.03999329999999"/>
    <x v="951"/>
  </r>
  <r>
    <x v="959"/>
    <x v="27"/>
    <x v="9"/>
    <x v="3"/>
    <s v="Q4"/>
    <n v="138.30860899999999"/>
    <n v="138.8099976"/>
    <n v="139.36000060000001"/>
    <n v="137.41999820000001"/>
    <n v="137.83000179999999"/>
    <x v="952"/>
  </r>
  <r>
    <x v="960"/>
    <x v="28"/>
    <x v="9"/>
    <x v="3"/>
    <s v="Q4"/>
    <n v="125.1563034"/>
    <n v="125.61000060000001"/>
    <n v="128.3099976"/>
    <n v="125.0699997"/>
    <n v="128.1600037"/>
    <x v="953"/>
  </r>
  <r>
    <x v="961"/>
    <x v="15"/>
    <x v="9"/>
    <x v="3"/>
    <s v="Q4"/>
    <n v="121.8383255"/>
    <n v="122.2799988"/>
    <n v="124.33000180000001"/>
    <n v="121.2699966"/>
    <n v="123.2699966"/>
    <x v="954"/>
  </r>
  <r>
    <x v="962"/>
    <x v="18"/>
    <x v="9"/>
    <x v="3"/>
    <s v="Q4"/>
    <n v="121.7287216"/>
    <n v="122.16999819999999"/>
    <n v="123.3099976"/>
    <n v="120.2099991"/>
    <n v="122.8799973"/>
    <x v="955"/>
  </r>
  <r>
    <x v="963"/>
    <x v="19"/>
    <x v="9"/>
    <x v="3"/>
    <s v="Q4"/>
    <n v="124.0104523"/>
    <n v="124.4599991"/>
    <n v="125.4000015"/>
    <n v="122.75"/>
    <n v="123.2099991"/>
    <x v="956"/>
  </r>
  <r>
    <x v="964"/>
    <x v="30"/>
    <x v="10"/>
    <x v="3"/>
    <s v="Q4"/>
    <n v="123.6318283"/>
    <n v="124.08000180000001"/>
    <n v="125.3700027"/>
    <n v="122.6900024"/>
    <n v="125.0599976"/>
    <x v="957"/>
  </r>
  <r>
    <x v="965"/>
    <x v="29"/>
    <x v="10"/>
    <x v="3"/>
    <s v="Q4"/>
    <n v="125.9932632"/>
    <n v="126.4499969"/>
    <n v="126.48999790000001"/>
    <n v="123.7200012"/>
    <n v="124.0699997"/>
    <x v="958"/>
  </r>
  <r>
    <x v="966"/>
    <x v="0"/>
    <x v="10"/>
    <x v="3"/>
    <s v="Q4"/>
    <n v="127.0295105"/>
    <n v="127.48999790000001"/>
    <n v="128.97999569999999"/>
    <n v="126.9300003"/>
    <n v="128.41999820000001"/>
    <x v="959"/>
  </r>
  <r>
    <x v="967"/>
    <x v="1"/>
    <x v="10"/>
    <x v="3"/>
    <s v="Q4"/>
    <n v="128.63369750000001"/>
    <n v="129.1000061"/>
    <n v="129.52999879999999"/>
    <n v="127.86000060000001"/>
    <n v="128.02000430000001"/>
    <x v="960"/>
  </r>
  <r>
    <x v="968"/>
    <x v="2"/>
    <x v="10"/>
    <x v="3"/>
    <s v="Q4"/>
    <n v="129.77954099999999"/>
    <n v="130.25"/>
    <n v="130.3399963"/>
    <n v="128.66999820000001"/>
    <n v="129.0500031"/>
    <x v="961"/>
  </r>
  <r>
    <x v="969"/>
    <x v="3"/>
    <x v="10"/>
    <x v="3"/>
    <s v="Q4"/>
    <n v="130.49694819999999"/>
    <n v="130.97000120000001"/>
    <n v="131.9100037"/>
    <n v="129.88000489999999"/>
    <n v="130.71000670000001"/>
    <x v="962"/>
  </r>
  <r>
    <x v="970"/>
    <x v="4"/>
    <x v="10"/>
    <x v="3"/>
    <s v="Q4"/>
    <n v="131.36378479999999"/>
    <n v="131.8399963"/>
    <n v="132.21000670000001"/>
    <n v="130.77999879999999"/>
    <n v="130.97000120000001"/>
    <x v="963"/>
  </r>
  <r>
    <x v="971"/>
    <x v="5"/>
    <x v="10"/>
    <x v="3"/>
    <s v="Q4"/>
    <n v="129.769577"/>
    <n v="130.2400055"/>
    <n v="132.5500031"/>
    <n v="130.07000729999999"/>
    <n v="131.96000670000001"/>
    <x v="964"/>
  </r>
  <r>
    <x v="972"/>
    <x v="6"/>
    <x v="10"/>
    <x v="3"/>
    <s v="Q4"/>
    <n v="132.11108400000001"/>
    <n v="132.5899963"/>
    <n v="132.8000031"/>
    <n v="129.4100037"/>
    <n v="130.1000061"/>
    <x v="965"/>
  </r>
  <r>
    <x v="973"/>
    <x v="7"/>
    <x v="10"/>
    <x v="3"/>
    <s v="Q4"/>
    <n v="131.61288450000001"/>
    <n v="132.0899963"/>
    <n v="132.5899963"/>
    <n v="131.25"/>
    <n v="131.77999879999999"/>
    <x v="966"/>
  </r>
  <r>
    <x v="974"/>
    <x v="8"/>
    <x v="10"/>
    <x v="3"/>
    <s v="Q4"/>
    <n v="133.1373596"/>
    <n v="133.61999510000001"/>
    <n v="135.6999969"/>
    <n v="133.32000729999999"/>
    <n v="134.1900024"/>
    <x v="967"/>
  </r>
  <r>
    <x v="975"/>
    <x v="9"/>
    <x v="10"/>
    <x v="3"/>
    <s v="Q4"/>
    <n v="134.13374329999999"/>
    <n v="134.61999510000001"/>
    <n v="135.02999879999999"/>
    <n v="133.57000729999999"/>
    <n v="134.86999510000001"/>
    <x v="968"/>
  </r>
  <r>
    <x v="976"/>
    <x v="10"/>
    <x v="10"/>
    <x v="3"/>
    <s v="Q4"/>
    <n v="136.43540949999999"/>
    <n v="136.92999270000001"/>
    <n v="137.22000120000001"/>
    <n v="134.32000729999999"/>
    <n v="135.1900024"/>
    <x v="969"/>
  </r>
  <r>
    <x v="977"/>
    <x v="26"/>
    <x v="10"/>
    <x v="3"/>
    <s v="Q4"/>
    <n v="134.8212585"/>
    <n v="135.3099976"/>
    <n v="136.0599976"/>
    <n v="133.6499939"/>
    <n v="136"/>
    <x v="970"/>
  </r>
  <r>
    <x v="978"/>
    <x v="11"/>
    <x v="10"/>
    <x v="3"/>
    <s v="Q4"/>
    <n v="135.75787349999999"/>
    <n v="136.25"/>
    <n v="136.6600037"/>
    <n v="133.61999510000001"/>
    <n v="133.6900024"/>
    <x v="971"/>
  </r>
  <r>
    <x v="979"/>
    <x v="12"/>
    <x v="10"/>
    <x v="3"/>
    <s v="Q4"/>
    <n v="136.47526550000001"/>
    <n v="136.97000120000001"/>
    <n v="137.17999270000001"/>
    <n v="135.96000670000001"/>
    <n v="136.28999329999999"/>
    <x v="972"/>
  </r>
  <r>
    <x v="980"/>
    <x v="14"/>
    <x v="10"/>
    <x v="3"/>
    <s v="Q4"/>
    <n v="137.9897766"/>
    <n v="138.4900055"/>
    <n v="139.41999820000001"/>
    <n v="137.47000120000001"/>
    <n v="137.47000120000001"/>
    <x v="973"/>
  </r>
  <r>
    <x v="981"/>
    <x v="15"/>
    <x v="10"/>
    <x v="3"/>
    <s v="Q4"/>
    <n v="136.1962738"/>
    <n v="136.6900024"/>
    <n v="138.13000489999999"/>
    <n v="135.9900055"/>
    <n v="138.02999879999999"/>
    <x v="974"/>
  </r>
  <r>
    <x v="982"/>
    <x v="16"/>
    <x v="10"/>
    <x v="3"/>
    <s v="Q4"/>
    <n v="135.9172974"/>
    <n v="136.4100037"/>
    <n v="138.41999820000001"/>
    <n v="136"/>
    <n v="136.02999879999999"/>
    <x v="975"/>
  </r>
  <r>
    <x v="983"/>
    <x v="17"/>
    <x v="10"/>
    <x v="3"/>
    <s v="Q4"/>
    <n v="136.7044373"/>
    <n v="137.1999969"/>
    <n v="137.25"/>
    <n v="135.41999820000001"/>
    <n v="136.08000179999999"/>
    <x v="976"/>
  </r>
  <r>
    <x v="984"/>
    <x v="18"/>
    <x v="10"/>
    <x v="3"/>
    <s v="Q4"/>
    <n v="134.50242610000001"/>
    <n v="134.9900055"/>
    <n v="138.28999329999999"/>
    <n v="134.8399963"/>
    <n v="137.57000729999999"/>
    <x v="977"/>
  </r>
  <r>
    <x v="985"/>
    <x v="30"/>
    <x v="11"/>
    <x v="3"/>
    <s v="Q4"/>
    <n v="132.0513"/>
    <n v="132.52999879999999"/>
    <n v="135.5500031"/>
    <n v="131.27999879999999"/>
    <n v="135.0500031"/>
    <x v="978"/>
  </r>
  <r>
    <x v="986"/>
    <x v="20"/>
    <x v="11"/>
    <x v="3"/>
    <s v="Q4"/>
    <n v="131.38371280000001"/>
    <n v="131.86000060000001"/>
    <n v="132.11000060000001"/>
    <n v="130.66999820000001"/>
    <n v="131.86000060000001"/>
    <x v="979"/>
  </r>
  <r>
    <x v="987"/>
    <x v="21"/>
    <x v="11"/>
    <x v="3"/>
    <s v="Q4"/>
    <n v="128.80308529999999"/>
    <n v="129.27000430000001"/>
    <n v="130.02999879999999"/>
    <n v="127.9000015"/>
    <n v="129.88000489999999"/>
    <x v="980"/>
  </r>
  <r>
    <x v="988"/>
    <x v="1"/>
    <x v="11"/>
    <x v="3"/>
    <s v="Q4"/>
    <n v="130.51687620000001"/>
    <n v="130.9900055"/>
    <n v="132.13999939999999"/>
    <n v="128.25"/>
    <n v="128.9499969"/>
    <x v="981"/>
  </r>
  <r>
    <x v="989"/>
    <x v="2"/>
    <x v="11"/>
    <x v="3"/>
    <s v="Q4"/>
    <n v="129.5503693"/>
    <n v="130.02000430000001"/>
    <n v="131.8399963"/>
    <n v="129.88000489999999"/>
    <n v="131.4400024"/>
    <x v="982"/>
  </r>
  <r>
    <x v="990"/>
    <x v="3"/>
    <x v="11"/>
    <x v="3"/>
    <s v="Q4"/>
    <n v="136.43540949999999"/>
    <n v="136.92999270000001"/>
    <n v="138.5599976"/>
    <n v="134.6999969"/>
    <n v="135.03999329999999"/>
    <x v="983"/>
  </r>
  <r>
    <x v="991"/>
    <x v="22"/>
    <x v="11"/>
    <x v="3"/>
    <s v="Q4"/>
    <n v="134.50242610000001"/>
    <n v="134.9900055"/>
    <n v="136.3999939"/>
    <n v="134.02999879999999"/>
    <n v="134.1999969"/>
    <x v="984"/>
  </r>
  <r>
    <x v="992"/>
    <x v="23"/>
    <x v="11"/>
    <x v="3"/>
    <s v="Q4"/>
    <n v="132.808548"/>
    <n v="133.28999329999999"/>
    <n v="133.3399963"/>
    <n v="131.36000060000001"/>
    <n v="132.38000489999999"/>
    <x v="985"/>
  </r>
  <r>
    <x v="993"/>
    <x v="6"/>
    <x v="11"/>
    <x v="3"/>
    <s v="Q4"/>
    <n v="132.0413361"/>
    <n v="132.52000430000001"/>
    <n v="133"/>
    <n v="131.2599945"/>
    <n v="131.8099976"/>
    <x v="986"/>
  </r>
  <r>
    <x v="994"/>
    <x v="7"/>
    <x v="11"/>
    <x v="3"/>
    <s v="Q4"/>
    <n v="132.09117130000001"/>
    <n v="132.57000729999999"/>
    <n v="133.5"/>
    <n v="131.57000729999999"/>
    <n v="133.38000489999999"/>
    <x v="987"/>
  </r>
  <r>
    <x v="995"/>
    <x v="8"/>
    <x v="11"/>
    <x v="3"/>
    <s v="Q4"/>
    <n v="131.46342469999999"/>
    <n v="131.9400024"/>
    <n v="133.72000120000001"/>
    <n v="129.6900024"/>
    <n v="133.38000489999999"/>
    <x v="988"/>
  </r>
  <r>
    <x v="996"/>
    <x v="24"/>
    <x v="11"/>
    <x v="3"/>
    <s v="Q4"/>
    <n v="132.121048"/>
    <n v="132.6000061"/>
    <n v="133.5099945"/>
    <n v="131.17999270000001"/>
    <n v="131.61999510000001"/>
    <x v="989"/>
  </r>
  <r>
    <x v="997"/>
    <x v="25"/>
    <x v="11"/>
    <x v="3"/>
    <s v="Q4"/>
    <n v="135.3095093"/>
    <n v="135.8000031"/>
    <n v="137.1499939"/>
    <n v="132.42999270000001"/>
    <n v="132.63000489999999"/>
    <x v="990"/>
  </r>
  <r>
    <x v="998"/>
    <x v="26"/>
    <x v="11"/>
    <x v="3"/>
    <s v="Q4"/>
    <n v="136.15641780000001"/>
    <n v="136.6499939"/>
    <n v="137.47000120000001"/>
    <n v="136.08000179999999"/>
    <n v="136.8399963"/>
    <x v="991"/>
  </r>
  <r>
    <x v="999"/>
    <x v="11"/>
    <x v="11"/>
    <x v="3"/>
    <s v="Q4"/>
    <n v="137.84030150000001"/>
    <n v="138.3399963"/>
    <n v="141.6999969"/>
    <n v="138.07000729999999"/>
    <n v="138.97000120000001"/>
    <x v="992"/>
  </r>
  <r>
    <x v="1000"/>
    <x v="12"/>
    <x v="11"/>
    <x v="3"/>
    <s v="Q4"/>
    <n v="139.91279599999999"/>
    <n v="140.41999820000001"/>
    <n v="140.6900024"/>
    <n v="139.17999270000001"/>
    <n v="139.4900055"/>
    <x v="993"/>
  </r>
  <r>
    <x v="1001"/>
    <x v="28"/>
    <x v="11"/>
    <x v="3"/>
    <s v="Q4"/>
    <n v="140.97894289999999"/>
    <n v="141.4900055"/>
    <n v="141.9900055"/>
    <n v="140.71000670000001"/>
    <n v="140.77000430000001"/>
    <x v="994"/>
  </r>
  <r>
    <x v="1002"/>
    <x v="15"/>
    <x v="11"/>
    <x v="3"/>
    <s v="Q4"/>
    <n v="141.00883479999999"/>
    <n v="141.52000430000001"/>
    <n v="142.67999270000001"/>
    <n v="141.1900024"/>
    <n v="141.5899963"/>
    <x v="995"/>
  </r>
  <r>
    <x v="1003"/>
    <x v="16"/>
    <x v="11"/>
    <x v="3"/>
    <s v="Q4"/>
    <n v="139.8629761"/>
    <n v="140.36999510000001"/>
    <n v="142.08000179999999"/>
    <n v="139.88999939999999"/>
    <n v="141.5899963"/>
    <x v="996"/>
  </r>
  <r>
    <x v="1004"/>
    <x v="17"/>
    <x v="11"/>
    <x v="3"/>
    <s v="Q4"/>
    <n v="139.72348020000001"/>
    <n v="140.22999569999999"/>
    <n v="141.13999939999999"/>
    <n v="139.75"/>
    <n v="140.77999879999999"/>
    <x v="997"/>
  </r>
  <r>
    <x v="1005"/>
    <x v="29"/>
    <x v="0"/>
    <x v="4"/>
    <s v="Q1"/>
    <n v="139.18544009999999"/>
    <n v="139.6900024"/>
    <n v="140.36000060000001"/>
    <n v="138.77999879999999"/>
    <n v="139.63000489999999"/>
    <x v="998"/>
  </r>
  <r>
    <x v="1006"/>
    <x v="0"/>
    <x v="0"/>
    <x v="4"/>
    <s v="Q1"/>
    <n v="137.670929"/>
    <n v="138.16999820000001"/>
    <n v="139.4499969"/>
    <n v="136.47999569999999"/>
    <n v="138.5500031"/>
    <x v="999"/>
  </r>
  <r>
    <x v="1007"/>
    <x v="20"/>
    <x v="0"/>
    <x v="4"/>
    <s v="Q1"/>
    <n v="138.41822809999999"/>
    <n v="138.91999820000001"/>
    <n v="139.63000489999999"/>
    <n v="137.08000179999999"/>
    <n v="137.25"/>
    <x v="1000"/>
  </r>
  <r>
    <x v="1008"/>
    <x v="21"/>
    <x v="0"/>
    <x v="4"/>
    <s v="Q1"/>
    <n v="135.8973541"/>
    <n v="136.38999939999999"/>
    <n v="139.1600037"/>
    <n v="136.3500061"/>
    <n v="138.41999820000001"/>
    <x v="1001"/>
  </r>
  <r>
    <x v="1009"/>
    <x v="3"/>
    <x v="0"/>
    <x v="4"/>
    <s v="Q1"/>
    <n v="135.23974609999999"/>
    <n v="135.72999569999999"/>
    <n v="137.1600037"/>
    <n v="135.1499939"/>
    <n v="136.75"/>
    <x v="1002"/>
  </r>
  <r>
    <x v="1010"/>
    <x v="4"/>
    <x v="0"/>
    <x v="4"/>
    <s v="Q1"/>
    <n v="138.33851619999999"/>
    <n v="138.8399963"/>
    <n v="139.0099945"/>
    <n v="136.2599945"/>
    <n v="136.28999329999999"/>
    <x v="1003"/>
  </r>
  <r>
    <x v="1011"/>
    <x v="5"/>
    <x v="0"/>
    <x v="4"/>
    <s v="Q1"/>
    <n v="140.4408875"/>
    <n v="140.9499969"/>
    <n v="141.4900055"/>
    <n v="138.1499939"/>
    <n v="138.5"/>
    <x v="1004"/>
  </r>
  <r>
    <x v="1012"/>
    <x v="22"/>
    <x v="0"/>
    <x v="4"/>
    <s v="Q1"/>
    <n v="141.76608279999999"/>
    <n v="142.27999879999999"/>
    <n v="143"/>
    <n v="140.9100037"/>
    <n v="141"/>
    <x v="1005"/>
  </r>
  <r>
    <x v="1013"/>
    <x v="23"/>
    <x v="0"/>
    <x v="4"/>
    <s v="Q1"/>
    <n v="141.5668182"/>
    <n v="142.08000179999999"/>
    <n v="145.22000120000001"/>
    <n v="140.63999939999999"/>
    <n v="143.4900055"/>
    <x v="1006"/>
  </r>
  <r>
    <x v="1014"/>
    <x v="9"/>
    <x v="0"/>
    <x v="4"/>
    <s v="Q1"/>
    <n v="142.1347351"/>
    <n v="142.6499939"/>
    <n v="143.1999969"/>
    <n v="141.82000729999999"/>
    <n v="142.66999820000001"/>
    <x v="1007"/>
  </r>
  <r>
    <x v="1015"/>
    <x v="10"/>
    <x v="0"/>
    <x v="4"/>
    <s v="Q1"/>
    <n v="141.97532649999999"/>
    <n v="142.4900055"/>
    <n v="144.3500061"/>
    <n v="141.4499969"/>
    <n v="142"/>
    <x v="1008"/>
  </r>
  <r>
    <x v="1016"/>
    <x v="24"/>
    <x v="0"/>
    <x v="4"/>
    <s v="Q1"/>
    <n v="140.9590149"/>
    <n v="141.47000120000001"/>
    <n v="141.8399963"/>
    <n v="138.8999939"/>
    <n v="141.3500061"/>
    <x v="1009"/>
  </r>
  <r>
    <x v="1017"/>
    <x v="25"/>
    <x v="0"/>
    <x v="4"/>
    <s v="Q1"/>
    <n v="142.96174619999999"/>
    <n v="143.47999569999999"/>
    <n v="144.21000670000001"/>
    <n v="141.9900055"/>
    <n v="142.0500031"/>
    <x v="1010"/>
  </r>
  <r>
    <x v="1018"/>
    <x v="12"/>
    <x v="0"/>
    <x v="4"/>
    <s v="Q1"/>
    <n v="145.85128779999999"/>
    <n v="146.38000489999999"/>
    <n v="146.4499969"/>
    <n v="144.38000489999999"/>
    <n v="144.7400055"/>
    <x v="1011"/>
  </r>
  <r>
    <x v="1019"/>
    <x v="13"/>
    <x v="0"/>
    <x v="4"/>
    <s v="Q1"/>
    <n v="145.46269229999999"/>
    <n v="145.9900055"/>
    <n v="148.38999939999999"/>
    <n v="145.8399963"/>
    <n v="147.1000061"/>
    <x v="1012"/>
  </r>
  <r>
    <x v="1020"/>
    <x v="14"/>
    <x v="0"/>
    <x v="4"/>
    <s v="Q1"/>
    <n v="146.5088959"/>
    <n v="147.03999329999999"/>
    <n v="147.17999270000001"/>
    <n v="145.5"/>
    <n v="145.88999939999999"/>
    <x v="1013"/>
  </r>
  <r>
    <x v="1021"/>
    <x v="27"/>
    <x v="0"/>
    <x v="4"/>
    <s v="Q1"/>
    <n v="148.16290280000001"/>
    <n v="148.6999969"/>
    <n v="149.8500061"/>
    <n v="148.1000061"/>
    <n v="148.53999329999999"/>
    <x v="1014"/>
  </r>
  <r>
    <x v="1022"/>
    <x v="28"/>
    <x v="0"/>
    <x v="4"/>
    <s v="Q1"/>
    <n v="151.32144170000001"/>
    <n v="151.86999510000001"/>
    <n v="153.0500031"/>
    <n v="149.53999329999999"/>
    <n v="150.07000729999999"/>
    <x v="1015"/>
  </r>
  <r>
    <x v="1023"/>
    <x v="17"/>
    <x v="0"/>
    <x v="4"/>
    <s v="Q1"/>
    <n v="151.64028930000001"/>
    <n v="152.1900024"/>
    <n v="152.53999329999999"/>
    <n v="151.0099945"/>
    <n v="151.1000061"/>
    <x v="1016"/>
  </r>
  <r>
    <x v="1024"/>
    <x v="18"/>
    <x v="0"/>
    <x v="4"/>
    <s v="Q1"/>
    <n v="152.95550539999999"/>
    <n v="153.5099945"/>
    <n v="153.77999879999999"/>
    <n v="151.42999270000001"/>
    <n v="152.0599976"/>
    <x v="1017"/>
  </r>
  <r>
    <x v="1025"/>
    <x v="19"/>
    <x v="0"/>
    <x v="4"/>
    <s v="Q1"/>
    <n v="150.91293329999999"/>
    <n v="151.46000670000001"/>
    <n v="153.61999510000001"/>
    <n v="151.1900024"/>
    <n v="152.8000031"/>
    <x v="1018"/>
  </r>
  <r>
    <x v="1026"/>
    <x v="30"/>
    <x v="1"/>
    <x v="4"/>
    <s v="Q1"/>
    <n v="139.5939636"/>
    <n v="140.1000061"/>
    <n v="144"/>
    <n v="139.86999510000001"/>
    <n v="143.61999510000001"/>
    <x v="1019"/>
  </r>
  <r>
    <x v="1027"/>
    <x v="29"/>
    <x v="1"/>
    <x v="4"/>
    <s v="Q1"/>
    <n v="140.65014650000001"/>
    <n v="141.1600037"/>
    <n v="143.0599976"/>
    <n v="140.78999329999999"/>
    <n v="142.11999510000001"/>
    <x v="1020"/>
  </r>
  <r>
    <x v="1028"/>
    <x v="21"/>
    <x v="1"/>
    <x v="4"/>
    <s v="Q1"/>
    <n v="141.8657379"/>
    <n v="142.38000489999999"/>
    <n v="142.61999510000001"/>
    <n v="136.5"/>
    <n v="139.2599945"/>
    <x v="1021"/>
  </r>
  <r>
    <x v="1029"/>
    <x v="1"/>
    <x v="1"/>
    <x v="4"/>
    <s v="Q1"/>
    <n v="143.16102599999999"/>
    <n v="143.67999270000001"/>
    <n v="145.47000120000001"/>
    <n v="142.77999879999999"/>
    <n v="142.82000729999999"/>
    <x v="1022"/>
  </r>
  <r>
    <x v="1030"/>
    <x v="2"/>
    <x v="1"/>
    <x v="4"/>
    <s v="Q1"/>
    <n v="143.57952879999999"/>
    <n v="144.1000061"/>
    <n v="145.36000060000001"/>
    <n v="143.1900024"/>
    <n v="144.6499939"/>
    <x v="1023"/>
  </r>
  <r>
    <x v="1031"/>
    <x v="3"/>
    <x v="1"/>
    <x v="4"/>
    <s v="Q1"/>
    <n v="145.0143127"/>
    <n v="145.53999329999999"/>
    <n v="145.61999510000001"/>
    <n v="143.92999270000001"/>
    <n v="144.7599945"/>
    <x v="1024"/>
  </r>
  <r>
    <x v="1032"/>
    <x v="4"/>
    <x v="1"/>
    <x v="4"/>
    <s v="Q1"/>
    <n v="145.38298030000001"/>
    <n v="145.9100037"/>
    <n v="146.33000179999999"/>
    <n v="145.1000061"/>
    <n v="145.83000179999999"/>
    <x v="1025"/>
  </r>
  <r>
    <x v="1033"/>
    <x v="23"/>
    <x v="1"/>
    <x v="4"/>
    <s v="Q1"/>
    <n v="148.46182250000001"/>
    <n v="149"/>
    <n v="149.4400024"/>
    <n v="146.17999270000001"/>
    <n v="146.67999270000001"/>
    <x v="1026"/>
  </r>
  <r>
    <x v="1034"/>
    <x v="6"/>
    <x v="1"/>
    <x v="4"/>
    <s v="Q1"/>
    <n v="146.99713130000001"/>
    <n v="147.52999879999999"/>
    <n v="149.3399963"/>
    <n v="147.36999510000001"/>
    <n v="148.41999820000001"/>
    <x v="1027"/>
  </r>
  <r>
    <x v="1035"/>
    <x v="7"/>
    <x v="1"/>
    <x v="4"/>
    <s v="Q1"/>
    <n v="144.6157532"/>
    <n v="145.13999939999999"/>
    <n v="146.66999820000001"/>
    <n v="143.6900024"/>
    <n v="144.91999820000001"/>
    <x v="1028"/>
  </r>
  <r>
    <x v="1036"/>
    <x v="8"/>
    <x v="1"/>
    <x v="4"/>
    <s v="Q1"/>
    <n v="145.4128723"/>
    <n v="145.9400024"/>
    <n v="146.52000430000001"/>
    <n v="144.0899963"/>
    <n v="146.08000179999999"/>
    <x v="1029"/>
  </r>
  <r>
    <x v="1037"/>
    <x v="9"/>
    <x v="1"/>
    <x v="4"/>
    <s v="Q1"/>
    <n v="142.2543182"/>
    <n v="142.77000430000001"/>
    <n v="143.52000430000001"/>
    <n v="140.46000670000001"/>
    <n v="143.13999939999999"/>
    <x v="1030"/>
  </r>
  <r>
    <x v="1038"/>
    <x v="26"/>
    <x v="1"/>
    <x v="4"/>
    <s v="Q1"/>
    <n v="140.01245119999999"/>
    <n v="140.52000430000001"/>
    <n v="143.1900024"/>
    <n v="140.13999939999999"/>
    <n v="142.9900055"/>
    <x v="1031"/>
  </r>
  <r>
    <x v="1039"/>
    <x v="11"/>
    <x v="1"/>
    <x v="4"/>
    <s v="Q1"/>
    <n v="140.61027530000001"/>
    <n v="141.11999510000001"/>
    <n v="142.08000179999999"/>
    <n v="139.4900055"/>
    <n v="139.6600037"/>
    <x v="1032"/>
  </r>
  <r>
    <x v="1040"/>
    <x v="12"/>
    <x v="1"/>
    <x v="4"/>
    <s v="Q1"/>
    <n v="142.0351105"/>
    <n v="142.5500031"/>
    <n v="142.6900024"/>
    <n v="140.67999270000001"/>
    <n v="141.4499969"/>
    <x v="1033"/>
  </r>
  <r>
    <x v="1041"/>
    <x v="13"/>
    <x v="1"/>
    <x v="4"/>
    <s v="Q1"/>
    <n v="143.56953429999999"/>
    <n v="144.0899963"/>
    <n v="145"/>
    <n v="142.8000031"/>
    <n v="144.92999270000001"/>
    <x v="1034"/>
  </r>
  <r>
    <x v="1042"/>
    <x v="28"/>
    <x v="1"/>
    <x v="4"/>
    <s v="Q1"/>
    <n v="143.440033"/>
    <n v="143.96000670000001"/>
    <n v="144.67999270000001"/>
    <n v="143.42999270000001"/>
    <n v="143.66999820000001"/>
    <x v="1035"/>
  </r>
  <r>
    <x v="1043"/>
    <x v="15"/>
    <x v="1"/>
    <x v="4"/>
    <s v="Q1"/>
    <n v="137.0731049"/>
    <n v="137.57000729999999"/>
    <n v="142.4400024"/>
    <n v="137.38999939999999"/>
    <n v="142.13999939999999"/>
    <x v="1036"/>
  </r>
  <r>
    <x v="1044"/>
    <x v="16"/>
    <x v="1"/>
    <x v="4"/>
    <s v="Q1"/>
    <n v="138.3783722"/>
    <n v="138.88000489999999"/>
    <n v="139.25"/>
    <n v="137.0899963"/>
    <n v="138.02000430000001"/>
    <x v="1037"/>
  </r>
  <r>
    <x v="1045"/>
    <x v="17"/>
    <x v="1"/>
    <x v="4"/>
    <s v="Q1"/>
    <n v="135.8873901"/>
    <n v="136.38000489999999"/>
    <n v="138.0099945"/>
    <n v="135.4100037"/>
    <n v="137.8999939"/>
    <x v="1038"/>
  </r>
  <r>
    <x v="1046"/>
    <x v="30"/>
    <x v="2"/>
    <x v="4"/>
    <s v="Q1"/>
    <n v="137.95988460000001"/>
    <n v="138.46000670000001"/>
    <n v="138.86000060000001"/>
    <n v="136.3999939"/>
    <n v="137.27999879999999"/>
    <x v="1039"/>
  </r>
  <r>
    <x v="1047"/>
    <x v="20"/>
    <x v="2"/>
    <x v="4"/>
    <s v="Q1"/>
    <n v="136.64463810000001"/>
    <n v="137.13999939999999"/>
    <n v="138.86999510000001"/>
    <n v="136.91999820000001"/>
    <n v="138.42999270000001"/>
    <x v="1040"/>
  </r>
  <r>
    <x v="1048"/>
    <x v="21"/>
    <x v="2"/>
    <x v="4"/>
    <s v="Q1"/>
    <n v="132.86834719999999"/>
    <n v="133.3500061"/>
    <n v="135.6600037"/>
    <n v="131.9100037"/>
    <n v="135.6600037"/>
    <x v="1041"/>
  </r>
  <r>
    <x v="1049"/>
    <x v="1"/>
    <x v="2"/>
    <x v="4"/>
    <s v="Q1"/>
    <n v="132.19079590000001"/>
    <n v="132.66999820000001"/>
    <n v="133.2400055"/>
    <n v="130.66999820000001"/>
    <n v="131.88000489999999"/>
    <x v="1042"/>
  </r>
  <r>
    <x v="1050"/>
    <x v="2"/>
    <x v="2"/>
    <x v="4"/>
    <s v="Q1"/>
    <n v="130.9253693"/>
    <n v="131.3999939"/>
    <n v="133.58000179999999"/>
    <n v="130.8500061"/>
    <n v="133.11999510000001"/>
    <x v="1043"/>
  </r>
  <r>
    <x v="1051"/>
    <x v="3"/>
    <x v="2"/>
    <x v="4"/>
    <s v="Q1"/>
    <n v="133.89462280000001"/>
    <n v="134.38000489999999"/>
    <n v="134.9400024"/>
    <n v="131.61000060000001"/>
    <n v="132.78999329999999"/>
    <x v="1044"/>
  </r>
  <r>
    <x v="1052"/>
    <x v="22"/>
    <x v="2"/>
    <x v="4"/>
    <s v="Q1"/>
    <n v="134.9208984"/>
    <n v="135.4100037"/>
    <n v="138.0899963"/>
    <n v="134"/>
    <n v="134.21000670000001"/>
    <x v="1045"/>
  </r>
  <r>
    <x v="1053"/>
    <x v="23"/>
    <x v="2"/>
    <x v="4"/>
    <s v="Q1"/>
    <n v="137.1727448"/>
    <n v="137.66999820000001"/>
    <n v="139.1000061"/>
    <n v="136.13000489999999"/>
    <n v="136.13000489999999"/>
    <x v="1046"/>
  </r>
  <r>
    <x v="1054"/>
    <x v="6"/>
    <x v="2"/>
    <x v="4"/>
    <s v="Q1"/>
    <n v="137.99972529999999"/>
    <n v="138.5"/>
    <n v="139.38000489999999"/>
    <n v="137.02999879999999"/>
    <n v="137.02999879999999"/>
    <x v="1047"/>
  </r>
  <r>
    <x v="1055"/>
    <x v="7"/>
    <x v="2"/>
    <x v="4"/>
    <s v="Q1"/>
    <n v="139.28506469999999"/>
    <n v="139.78999329999999"/>
    <n v="141.0899963"/>
    <n v="138.9900055"/>
    <n v="139"/>
    <x v="1048"/>
  </r>
  <r>
    <x v="1056"/>
    <x v="8"/>
    <x v="2"/>
    <x v="4"/>
    <s v="Q1"/>
    <n v="142.58312989999999"/>
    <n v="143.1000061"/>
    <n v="143.5899963"/>
    <n v="140.46000670000001"/>
    <n v="141.1900024"/>
    <x v="1049"/>
  </r>
  <r>
    <x v="1057"/>
    <x v="24"/>
    <x v="2"/>
    <x v="4"/>
    <s v="Q1"/>
    <n v="140.6700439"/>
    <n v="141.17999270000001"/>
    <n v="143.17999270000001"/>
    <n v="140.02999879999999"/>
    <n v="142.5"/>
    <x v="1050"/>
  </r>
  <r>
    <x v="1058"/>
    <x v="25"/>
    <x v="2"/>
    <x v="4"/>
    <s v="Q1"/>
    <n v="147.14657589999999"/>
    <n v="147.67999270000001"/>
    <n v="152.1499939"/>
    <n v="147.16999820000001"/>
    <n v="148.61000060000001"/>
    <x v="1051"/>
  </r>
  <r>
    <x v="1059"/>
    <x v="26"/>
    <x v="2"/>
    <x v="4"/>
    <s v="Q1"/>
    <n v="146.4989166"/>
    <n v="147.02999879999999"/>
    <n v="148.78999329999999"/>
    <n v="146.08000179999999"/>
    <n v="148.1600037"/>
    <x v="1052"/>
  </r>
  <r>
    <x v="1060"/>
    <x v="11"/>
    <x v="2"/>
    <x v="4"/>
    <s v="Q1"/>
    <n v="148.2027588"/>
    <n v="148.7400055"/>
    <n v="148.86000060000001"/>
    <n v="146.7400055"/>
    <n v="148"/>
    <x v="1053"/>
  </r>
  <r>
    <x v="1061"/>
    <x v="12"/>
    <x v="2"/>
    <x v="4"/>
    <s v="Q1"/>
    <n v="147.06687930000001"/>
    <n v="147.6000061"/>
    <n v="150.36999510000001"/>
    <n v="146.8999939"/>
    <n v="149.47000120000001"/>
    <x v="1054"/>
  </r>
  <r>
    <x v="1062"/>
    <x v="27"/>
    <x v="2"/>
    <x v="4"/>
    <s v="Q1"/>
    <n v="150.22543329999999"/>
    <n v="150.77000430000001"/>
    <n v="151.58000179999999"/>
    <n v="148.97999569999999"/>
    <n v="149.11999510000001"/>
    <x v="1055"/>
  </r>
  <r>
    <x v="1063"/>
    <x v="28"/>
    <x v="2"/>
    <x v="4"/>
    <s v="Q1"/>
    <n v="149.52795409999999"/>
    <n v="150.07000729999999"/>
    <n v="150.38000489999999"/>
    <n v="147.82000729999999"/>
    <n v="149.9400024"/>
    <x v="1056"/>
  </r>
  <r>
    <x v="1064"/>
    <x v="15"/>
    <x v="2"/>
    <x v="4"/>
    <s v="Q1"/>
    <n v="150.12577820000001"/>
    <n v="150.66999820000001"/>
    <n v="152.2599945"/>
    <n v="149.97999569999999"/>
    <n v="150.22000120000001"/>
    <x v="1057"/>
  </r>
  <r>
    <x v="1065"/>
    <x v="16"/>
    <x v="2"/>
    <x v="4"/>
    <s v="Q1"/>
    <n v="150.32504270000001"/>
    <n v="150.86999510000001"/>
    <n v="151.63999939999999"/>
    <n v="148.8999939"/>
    <n v="151.17999270000001"/>
    <x v="1058"/>
  </r>
  <r>
    <x v="1066"/>
    <x v="30"/>
    <x v="3"/>
    <x v="4"/>
    <s v="Q2"/>
    <n v="150.3848419"/>
    <n v="150.92999270000001"/>
    <n v="151.42999270000001"/>
    <n v="150.16999820000001"/>
    <n v="150.8500061"/>
    <x v="1059"/>
  </r>
  <r>
    <x v="1067"/>
    <x v="29"/>
    <x v="3"/>
    <x v="4"/>
    <s v="Q2"/>
    <n v="154.92839050000001"/>
    <n v="155.4900055"/>
    <n v="155.7400055"/>
    <n v="150.61000060000001"/>
    <n v="150.6900024"/>
    <x v="1060"/>
  </r>
  <r>
    <x v="1068"/>
    <x v="0"/>
    <x v="3"/>
    <x v="4"/>
    <s v="Q2"/>
    <n v="154.00172420000001"/>
    <n v="154.5599976"/>
    <n v="154.6999969"/>
    <n v="152.1499939"/>
    <n v="153.5"/>
    <x v="1061"/>
  </r>
  <r>
    <x v="1069"/>
    <x v="20"/>
    <x v="3"/>
    <x v="4"/>
    <s v="Q2"/>
    <n v="154.36042789999999"/>
    <n v="154.91999820000001"/>
    <n v="155.08000179999999"/>
    <n v="152.72999569999999"/>
    <n v="153.6000061"/>
    <x v="1062"/>
  </r>
  <r>
    <x v="1070"/>
    <x v="21"/>
    <x v="3"/>
    <x v="4"/>
    <s v="Q2"/>
    <n v="149.9862976"/>
    <n v="150.52999879999999"/>
    <n v="154.77000430000001"/>
    <n v="150.4499969"/>
    <n v="153.5"/>
    <x v="1063"/>
  </r>
  <r>
    <x v="1071"/>
    <x v="3"/>
    <x v="3"/>
    <x v="4"/>
    <s v="Q2"/>
    <n v="151.949173"/>
    <n v="152.5"/>
    <n v="153.41999820000001"/>
    <n v="149.6000061"/>
    <n v="150.02999879999999"/>
    <x v="1064"/>
  </r>
  <r>
    <x v="1072"/>
    <x v="4"/>
    <x v="3"/>
    <x v="4"/>
    <s v="Q2"/>
    <n v="154.29069519999999"/>
    <n v="154.8500061"/>
    <n v="155.27000430000001"/>
    <n v="152.61000060000001"/>
    <n v="152.77999879999999"/>
    <x v="1065"/>
  </r>
  <r>
    <x v="1073"/>
    <x v="5"/>
    <x v="3"/>
    <x v="4"/>
    <s v="Q2"/>
    <n v="156.0343628"/>
    <n v="156.6000061"/>
    <n v="158.5599976"/>
    <n v="155.1900024"/>
    <n v="156.0899963"/>
    <x v="1066"/>
  </r>
  <r>
    <x v="1074"/>
    <x v="22"/>
    <x v="3"/>
    <x v="4"/>
    <s v="Q2"/>
    <n v="155.57601930000001"/>
    <n v="156.13999939999999"/>
    <n v="156.61000060000001"/>
    <n v="154.67999270000001"/>
    <n v="156.21000670000001"/>
    <x v="1067"/>
  </r>
  <r>
    <x v="1075"/>
    <x v="23"/>
    <x v="3"/>
    <x v="4"/>
    <s v="Q2"/>
    <n v="158.83421329999999"/>
    <n v="159.4100037"/>
    <n v="159.67999270000001"/>
    <n v="156.46000670000001"/>
    <n v="156.9100037"/>
    <x v="1068"/>
  </r>
  <r>
    <x v="1076"/>
    <x v="8"/>
    <x v="3"/>
    <x v="4"/>
    <s v="Q2"/>
    <n v="157.16027829999999"/>
    <n v="157.72999569999999"/>
    <n v="160.22000120000001"/>
    <n v="157.13999939999999"/>
    <n v="157.96000670000001"/>
    <x v="1069"/>
  </r>
  <r>
    <x v="1077"/>
    <x v="9"/>
    <x v="3"/>
    <x v="4"/>
    <s v="Q2"/>
    <n v="154.30064390000001"/>
    <n v="154.86000060000001"/>
    <n v="159.2400055"/>
    <n v="154.5899963"/>
    <n v="158.86000060000001"/>
    <x v="1070"/>
  </r>
  <r>
    <x v="1078"/>
    <x v="10"/>
    <x v="3"/>
    <x v="4"/>
    <s v="Q2"/>
    <n v="153.8423004"/>
    <n v="154.3999939"/>
    <n v="155.6499939"/>
    <n v="153.42999270000001"/>
    <n v="154.1900024"/>
    <x v="1071"/>
  </r>
  <r>
    <x v="1079"/>
    <x v="24"/>
    <x v="3"/>
    <x v="4"/>
    <s v="Q2"/>
    <n v="154.90844730000001"/>
    <n v="155.47000120000001"/>
    <n v="157.08000179999999"/>
    <n v="154.58000179999999"/>
    <n v="155.61999510000001"/>
    <x v="1072"/>
  </r>
  <r>
    <x v="1080"/>
    <x v="25"/>
    <x v="3"/>
    <x v="4"/>
    <s v="Q2"/>
    <n v="155.4464874"/>
    <n v="156.0099945"/>
    <n v="156.9400024"/>
    <n v="154.61999510000001"/>
    <n v="155.3399963"/>
    <x v="1073"/>
  </r>
  <r>
    <x v="1081"/>
    <x v="12"/>
    <x v="3"/>
    <x v="4"/>
    <s v="Q2"/>
    <n v="153.533432"/>
    <n v="154.0899963"/>
    <n v="156.36000060000001"/>
    <n v="152.3000031"/>
    <n v="156.1999969"/>
    <x v="1074"/>
  </r>
  <r>
    <x v="1082"/>
    <x v="13"/>
    <x v="3"/>
    <x v="4"/>
    <s v="Q2"/>
    <n v="155.7155151"/>
    <n v="156.27999879999999"/>
    <n v="157.63999939999999"/>
    <n v="154.0599976"/>
    <n v="154.3099976"/>
    <x v="1075"/>
  </r>
  <r>
    <x v="1083"/>
    <x v="14"/>
    <x v="3"/>
    <x v="4"/>
    <s v="Q2"/>
    <n v="157.6883545"/>
    <n v="158.2599945"/>
    <n v="158.97000120000001"/>
    <n v="156.27999879999999"/>
    <n v="156.96000670000001"/>
    <x v="1076"/>
  </r>
  <r>
    <x v="1084"/>
    <x v="27"/>
    <x v="3"/>
    <x v="4"/>
    <s v="Q2"/>
    <n v="158.55523679999999"/>
    <n v="159.13000489999999"/>
    <n v="159.57000729999999"/>
    <n v="157.16999820000001"/>
    <n v="157.4900055"/>
    <x v="1077"/>
  </r>
  <r>
    <x v="1085"/>
    <x v="28"/>
    <x v="3"/>
    <x v="4"/>
    <s v="Q2"/>
    <n v="155.4365234"/>
    <n v="156"/>
    <n v="156.4900055"/>
    <n v="150.86999510000001"/>
    <n v="151.33000179999999"/>
    <x v="1078"/>
  </r>
  <r>
    <x v="1086"/>
    <x v="17"/>
    <x v="3"/>
    <x v="4"/>
    <s v="Q2"/>
    <n v="171.32891849999999"/>
    <n v="171.9499969"/>
    <n v="174.71000670000001"/>
    <n v="169.6499939"/>
    <n v="174.36999510000001"/>
    <x v="1079"/>
  </r>
  <r>
    <x v="1087"/>
    <x v="18"/>
    <x v="3"/>
    <x v="4"/>
    <s v="Q2"/>
    <n v="165.5498657"/>
    <n v="166.1499939"/>
    <n v="169.5500031"/>
    <n v="165.21000670000001"/>
    <n v="169.0599976"/>
    <x v="1080"/>
  </r>
  <r>
    <x v="1088"/>
    <x v="30"/>
    <x v="4"/>
    <x v="4"/>
    <s v="Q2"/>
    <n v="162.1920471"/>
    <n v="162.77999879999999"/>
    <n v="168.1000061"/>
    <n v="162.6000061"/>
    <n v="165.61000060000001"/>
    <x v="1081"/>
  </r>
  <r>
    <x v="1089"/>
    <x v="29"/>
    <x v="4"/>
    <x v="4"/>
    <s v="Q2"/>
    <n v="163.2681427"/>
    <n v="163.86000060000001"/>
    <n v="167.11999510000001"/>
    <n v="163.0899963"/>
    <n v="164.3000031"/>
    <x v="1082"/>
  </r>
  <r>
    <x v="1090"/>
    <x v="0"/>
    <x v="4"/>
    <x v="4"/>
    <s v="Q2"/>
    <n v="166.01817320000001"/>
    <n v="166.61999510000001"/>
    <n v="166.72999569999999"/>
    <n v="163.88999939999999"/>
    <n v="164.78999329999999"/>
    <x v="1083"/>
  </r>
  <r>
    <x v="1091"/>
    <x v="1"/>
    <x v="4"/>
    <x v="4"/>
    <s v="Q2"/>
    <n v="166.6359253"/>
    <n v="167.2400055"/>
    <n v="167.96000670000001"/>
    <n v="163.0500031"/>
    <n v="167.5599976"/>
    <x v="1084"/>
  </r>
  <r>
    <x v="1092"/>
    <x v="2"/>
    <x v="4"/>
    <x v="4"/>
    <s v="Q2"/>
    <n v="167.49284359999999"/>
    <n v="168.1000061"/>
    <n v="168.13999939999999"/>
    <n v="166.02999879999999"/>
    <n v="167.46000670000001"/>
    <x v="1085"/>
  </r>
  <r>
    <x v="1093"/>
    <x v="3"/>
    <x v="4"/>
    <x v="4"/>
    <s v="Q2"/>
    <n v="170.63143919999999"/>
    <n v="171.25"/>
    <n v="171.7599945"/>
    <n v="168.38999939999999"/>
    <n v="168.5"/>
    <x v="1086"/>
  </r>
  <r>
    <x v="1094"/>
    <x v="4"/>
    <x v="4"/>
    <x v="4"/>
    <s v="Q2"/>
    <n v="168.76821899999999"/>
    <n v="169.38000489999999"/>
    <n v="170.1499939"/>
    <n v="168.7400055"/>
    <n v="169"/>
    <x v="1087"/>
  </r>
  <r>
    <x v="1095"/>
    <x v="5"/>
    <x v="4"/>
    <x v="4"/>
    <s v="Q2"/>
    <n v="169.34611509999999"/>
    <n v="169.96000670000001"/>
    <n v="170.6900024"/>
    <n v="168.17999270000001"/>
    <n v="169.38999939999999"/>
    <x v="1088"/>
  </r>
  <r>
    <x v="1096"/>
    <x v="6"/>
    <x v="4"/>
    <x v="4"/>
    <s v="Q2"/>
    <n v="168.04083249999999"/>
    <n v="168.6499939"/>
    <n v="169.8500061"/>
    <n v="166.1900024"/>
    <n v="168.02999879999999"/>
    <x v="1089"/>
  </r>
  <r>
    <x v="1097"/>
    <x v="7"/>
    <x v="4"/>
    <x v="4"/>
    <s v="Q2"/>
    <n v="168.529068"/>
    <n v="169.13999939999999"/>
    <n v="169.27999879999999"/>
    <n v="164"/>
    <n v="164.2599945"/>
    <x v="1090"/>
  </r>
  <r>
    <x v="1098"/>
    <x v="8"/>
    <x v="4"/>
    <x v="4"/>
    <s v="Q2"/>
    <n v="169.7247314"/>
    <n v="170.3399963"/>
    <n v="171.25"/>
    <n v="168.8000031"/>
    <n v="169.77000430000001"/>
    <x v="1091"/>
  </r>
  <r>
    <x v="1099"/>
    <x v="9"/>
    <x v="4"/>
    <x v="4"/>
    <s v="Q2"/>
    <n v="171.8869019"/>
    <n v="172.5099945"/>
    <n v="172.6499939"/>
    <n v="170.5099945"/>
    <n v="170.63000489999999"/>
    <x v="1092"/>
  </r>
  <r>
    <x v="1100"/>
    <x v="10"/>
    <x v="4"/>
    <x v="4"/>
    <s v="Q2"/>
    <n v="173.5508423"/>
    <n v="174.17999270000001"/>
    <n v="175.11999510000001"/>
    <n v="172.6900024"/>
    <n v="173.28999329999999"/>
    <x v="1093"/>
  </r>
  <r>
    <x v="1101"/>
    <x v="26"/>
    <x v="4"/>
    <x v="4"/>
    <s v="Q2"/>
    <n v="175.424057"/>
    <n v="176.0599976"/>
    <n v="176.27000430000001"/>
    <n v="173.6900024"/>
    <n v="174.17999270000001"/>
    <x v="1094"/>
  </r>
  <r>
    <x v="1102"/>
    <x v="11"/>
    <x v="4"/>
    <x v="4"/>
    <s v="Q2"/>
    <n v="176.28097529999999"/>
    <n v="176.91999820000001"/>
    <n v="178.77000430000001"/>
    <n v="176.08000179999999"/>
    <n v="176.1900024"/>
    <x v="1095"/>
  </r>
  <r>
    <x v="1103"/>
    <x v="12"/>
    <x v="4"/>
    <x v="4"/>
    <s v="Q2"/>
    <n v="177.20761110000001"/>
    <n v="177.8500061"/>
    <n v="178.1499939"/>
    <n v="175.8099976"/>
    <n v="176.8999939"/>
    <x v="1096"/>
  </r>
  <r>
    <x v="1104"/>
    <x v="13"/>
    <x v="4"/>
    <x v="4"/>
    <s v="Q2"/>
    <n v="175.7429047"/>
    <n v="176.38000489999999"/>
    <n v="177.1499939"/>
    <n v="175.21000670000001"/>
    <n v="176.63999939999999"/>
    <x v="1097"/>
  </r>
  <r>
    <x v="1105"/>
    <x v="14"/>
    <x v="4"/>
    <x v="4"/>
    <s v="Q2"/>
    <n v="172.92315669999999"/>
    <n v="173.5500031"/>
    <n v="178.25"/>
    <n v="172.9499969"/>
    <n v="177.07000729999999"/>
    <x v="1098"/>
  </r>
  <r>
    <x v="1106"/>
    <x v="16"/>
    <x v="4"/>
    <x v="4"/>
    <s v="Q2"/>
    <n v="174.35795590000001"/>
    <n v="174.9900055"/>
    <n v="175.77000430000001"/>
    <n v="173.6499939"/>
    <n v="174.97999569999999"/>
    <x v="1099"/>
  </r>
  <r>
    <x v="1107"/>
    <x v="17"/>
    <x v="4"/>
    <x v="4"/>
    <s v="Q2"/>
    <n v="175.7628479"/>
    <n v="176.3999939"/>
    <n v="177.27000430000001"/>
    <n v="174.36999510000001"/>
    <n v="174.4499969"/>
    <x v="1100"/>
  </r>
  <r>
    <x v="1108"/>
    <x v="18"/>
    <x v="4"/>
    <x v="4"/>
    <s v="Q2"/>
    <n v="175.26463319999999"/>
    <n v="175.8999939"/>
    <n v="176.8399963"/>
    <n v="174.72000120000001"/>
    <n v="175.42999270000001"/>
    <x v="1101"/>
  </r>
  <r>
    <x v="1109"/>
    <x v="19"/>
    <x v="4"/>
    <x v="4"/>
    <s v="Q2"/>
    <n v="171.4883423"/>
    <n v="172.11000060000001"/>
    <n v="175.22000120000001"/>
    <n v="171.78999329999999"/>
    <n v="175.1999969"/>
    <x v="1102"/>
  </r>
  <r>
    <x v="1110"/>
    <x v="0"/>
    <x v="5"/>
    <x v="4"/>
    <s v="Q2"/>
    <n v="171.8769226"/>
    <n v="172.5"/>
    <n v="173.0599976"/>
    <n v="169.4400024"/>
    <n v="171.86000060000001"/>
    <x v="1103"/>
  </r>
  <r>
    <x v="1111"/>
    <x v="20"/>
    <x v="5"/>
    <x v="4"/>
    <s v="Q2"/>
    <n v="172.54450990000001"/>
    <n v="173.16999820000001"/>
    <n v="174.52999879999999"/>
    <n v="171.1600037"/>
    <n v="172.53999329999999"/>
    <x v="1104"/>
  </r>
  <r>
    <x v="1112"/>
    <x v="21"/>
    <x v="5"/>
    <x v="4"/>
    <s v="Q2"/>
    <n v="173.16227720000001"/>
    <n v="173.78999329999999"/>
    <n v="173.8500061"/>
    <n v="171.88999939999999"/>
    <n v="173.27999879999999"/>
    <x v="1105"/>
  </r>
  <r>
    <x v="1113"/>
    <x v="1"/>
    <x v="5"/>
    <x v="4"/>
    <s v="Q2"/>
    <n v="174.77641299999999"/>
    <n v="175.4100037"/>
    <n v="176.6499939"/>
    <n v="173.92999270000001"/>
    <n v="175.1999969"/>
    <x v="1106"/>
  </r>
  <r>
    <x v="1114"/>
    <x v="2"/>
    <x v="5"/>
    <x v="4"/>
    <s v="Q2"/>
    <n v="176.09164430000001"/>
    <n v="176.72999569999999"/>
    <n v="177.1499939"/>
    <n v="175.75"/>
    <n v="175.8999939"/>
    <x v="1107"/>
  </r>
  <r>
    <x v="1115"/>
    <x v="5"/>
    <x v="5"/>
    <x v="4"/>
    <s v="Q2"/>
    <n v="173.82984920000001"/>
    <n v="174.46000670000001"/>
    <n v="177.86999510000001"/>
    <n v="174.3000031"/>
    <n v="177.0500031"/>
    <x v="1108"/>
  </r>
  <r>
    <x v="1116"/>
    <x v="22"/>
    <x v="5"/>
    <x v="4"/>
    <s v="Q2"/>
    <n v="174.57798769999999"/>
    <n v="175.0099945"/>
    <n v="177.0599976"/>
    <n v="172.7599945"/>
    <n v="174.97000120000001"/>
    <x v="1109"/>
  </r>
  <r>
    <x v="1117"/>
    <x v="23"/>
    <x v="5"/>
    <x v="4"/>
    <s v="Q2"/>
    <n v="176.184021"/>
    <n v="176.61999510000001"/>
    <n v="176.8399963"/>
    <n v="173.77000430000001"/>
    <n v="176.22000120000001"/>
    <x v="1110"/>
  </r>
  <r>
    <x v="1118"/>
    <x v="6"/>
    <x v="5"/>
    <x v="4"/>
    <s v="Q2"/>
    <n v="177.35113530000001"/>
    <n v="177.78999329999999"/>
    <n v="180.4100037"/>
    <n v="176.11000060000001"/>
    <n v="178.25"/>
    <x v="1111"/>
  </r>
  <r>
    <x v="1119"/>
    <x v="7"/>
    <x v="5"/>
    <x v="4"/>
    <s v="Q2"/>
    <n v="174.7276306"/>
    <n v="175.1600037"/>
    <n v="176.7400055"/>
    <n v="174.88000489999999"/>
    <n v="176.11000060000001"/>
    <x v="1112"/>
  </r>
  <r>
    <x v="1120"/>
    <x v="10"/>
    <x v="5"/>
    <x v="4"/>
    <s v="Q2"/>
    <n v="176.3536072"/>
    <n v="176.78999329999999"/>
    <n v="177.0599976"/>
    <n v="174.1499939"/>
    <n v="174.22000120000001"/>
    <x v="1113"/>
  </r>
  <r>
    <x v="1121"/>
    <x v="24"/>
    <x v="5"/>
    <x v="4"/>
    <s v="Q2"/>
    <n v="176.8025055"/>
    <n v="177.2400055"/>
    <n v="178.36000060000001"/>
    <n v="174.8099976"/>
    <n v="175.46000670000001"/>
    <x v="1114"/>
  </r>
  <r>
    <x v="1122"/>
    <x v="26"/>
    <x v="5"/>
    <x v="4"/>
    <s v="Q2"/>
    <n v="174.6577911"/>
    <n v="175.0899963"/>
    <n v="177.38999939999999"/>
    <n v="174.1000061"/>
    <n v="177.13999939999999"/>
    <x v="1115"/>
  </r>
  <r>
    <x v="1123"/>
    <x v="11"/>
    <x v="5"/>
    <x v="4"/>
    <s v="Q2"/>
    <n v="175.86480710000001"/>
    <n v="176.3000031"/>
    <n v="177.28999329999999"/>
    <n v="174.9900055"/>
    <n v="175.36999510000001"/>
    <x v="1116"/>
  </r>
  <r>
    <x v="1124"/>
    <x v="14"/>
    <x v="5"/>
    <x v="4"/>
    <s v="Q2"/>
    <n v="179.18659969999999"/>
    <n v="179.63000489999999"/>
    <n v="180.8500061"/>
    <n v="176.61000060000001"/>
    <n v="177"/>
    <x v="1117"/>
  </r>
  <r>
    <x v="1125"/>
    <x v="27"/>
    <x v="5"/>
    <x v="4"/>
    <s v="Q2"/>
    <n v="178.77760309999999"/>
    <n v="179.22000120000001"/>
    <n v="180.88999939999999"/>
    <n v="178.66999820000001"/>
    <n v="180.1600037"/>
    <x v="1118"/>
  </r>
  <r>
    <x v="1126"/>
    <x v="28"/>
    <x v="5"/>
    <x v="4"/>
    <s v="Q2"/>
    <n v="183.5757294"/>
    <n v="184.02999879999999"/>
    <n v="184.28999329999999"/>
    <n v="179.41999820000001"/>
    <n v="179.61999510000001"/>
    <x v="1119"/>
  </r>
  <r>
    <x v="1127"/>
    <x v="15"/>
    <x v="5"/>
    <x v="4"/>
    <s v="Q2"/>
    <n v="183.42611690000001"/>
    <n v="183.88000489999999"/>
    <n v="184.5099945"/>
    <n v="182.47999569999999"/>
    <n v="182.63000489999999"/>
    <x v="1120"/>
  </r>
  <r>
    <x v="1128"/>
    <x v="16"/>
    <x v="5"/>
    <x v="4"/>
    <s v="Q2"/>
    <n v="184.95233150000001"/>
    <n v="185.4100037"/>
    <n v="186.0500031"/>
    <n v="184.02000430000001"/>
    <n v="184.17999270000001"/>
    <x v="1121"/>
  </r>
  <r>
    <x v="1129"/>
    <x v="30"/>
    <x v="6"/>
    <x v="4"/>
    <s v="Q3"/>
    <n v="181.7003632"/>
    <n v="182.1499939"/>
    <n v="185.13000489999999"/>
    <n v="181.96000670000001"/>
    <n v="184.32000729999999"/>
    <x v="1122"/>
  </r>
  <r>
    <x v="1130"/>
    <x v="29"/>
    <x v="6"/>
    <x v="4"/>
    <s v="Q3"/>
    <n v="182.53829959999999"/>
    <n v="182.9900055"/>
    <n v="183.88000489999999"/>
    <n v="181.3000031"/>
    <n v="183.02999879999999"/>
    <x v="1123"/>
  </r>
  <r>
    <x v="1131"/>
    <x v="0"/>
    <x v="6"/>
    <x v="4"/>
    <s v="Q3"/>
    <n v="184.78276059999999"/>
    <n v="185.2400055"/>
    <n v="185.57000729999999"/>
    <n v="181.5599976"/>
    <n v="182.0500031"/>
    <x v="1124"/>
  </r>
  <r>
    <x v="1132"/>
    <x v="21"/>
    <x v="6"/>
    <x v="4"/>
    <s v="Q3"/>
    <n v="185.3613129"/>
    <n v="185.82000729999999"/>
    <n v="186.0899963"/>
    <n v="184"/>
    <n v="184.8500061"/>
    <x v="1125"/>
  </r>
  <r>
    <x v="1133"/>
    <x v="3"/>
    <x v="6"/>
    <x v="4"/>
    <s v="Q3"/>
    <n v="190.12953189999999"/>
    <n v="190.6000061"/>
    <n v="190.86000060000001"/>
    <n v="185.8000031"/>
    <n v="185.86000060000001"/>
    <x v="1126"/>
  </r>
  <r>
    <x v="1134"/>
    <x v="4"/>
    <x v="6"/>
    <x v="4"/>
    <s v="Q3"/>
    <n v="188.56338500000001"/>
    <n v="189.02999879999999"/>
    <n v="190.16999820000001"/>
    <n v="187.77999879999999"/>
    <n v="189.8999939"/>
    <x v="1127"/>
  </r>
  <r>
    <x v="1135"/>
    <x v="5"/>
    <x v="6"/>
    <x v="4"/>
    <s v="Q3"/>
    <n v="188.51350400000001"/>
    <n v="188.97999569999999"/>
    <n v="191.36000060000001"/>
    <n v="188.72000120000001"/>
    <n v="190.3099976"/>
    <x v="1128"/>
  </r>
  <r>
    <x v="1136"/>
    <x v="22"/>
    <x v="6"/>
    <x v="4"/>
    <s v="Q3"/>
    <n v="190.70806880000001"/>
    <n v="191.17999270000001"/>
    <n v="191.75"/>
    <n v="189.02999879999999"/>
    <n v="189.1499939"/>
    <x v="1129"/>
  </r>
  <r>
    <x v="1137"/>
    <x v="23"/>
    <x v="6"/>
    <x v="4"/>
    <s v="Q3"/>
    <n v="185.11193850000001"/>
    <n v="185.57000729999999"/>
    <n v="190.86000060000001"/>
    <n v="185.08000179999999"/>
    <n v="189.8500061"/>
    <x v="1130"/>
  </r>
  <r>
    <x v="1138"/>
    <x v="8"/>
    <x v="6"/>
    <x v="4"/>
    <s v="Q3"/>
    <n v="184.61317439999999"/>
    <n v="185.07000729999999"/>
    <n v="187.11000060000001"/>
    <n v="184.4900055"/>
    <n v="185.08000179999999"/>
    <x v="1131"/>
  </r>
  <r>
    <x v="1139"/>
    <x v="9"/>
    <x v="6"/>
    <x v="4"/>
    <s v="Q3"/>
    <n v="186.06956479999999"/>
    <n v="186.52999879999999"/>
    <n v="188.2400055"/>
    <n v="184.91999820000001"/>
    <n v="184.91999820000001"/>
    <x v="1132"/>
  </r>
  <r>
    <x v="1140"/>
    <x v="10"/>
    <x v="6"/>
    <x v="4"/>
    <s v="Q3"/>
    <n v="183.46600340000001"/>
    <n v="183.91999820000001"/>
    <n v="188.67999270000001"/>
    <n v="183.36999510000001"/>
    <n v="187.36000060000001"/>
    <x v="1133"/>
  </r>
  <r>
    <x v="1141"/>
    <x v="24"/>
    <x v="6"/>
    <x v="4"/>
    <s v="Q3"/>
    <n v="180.57316589999999"/>
    <n v="181.02000430000001"/>
    <n v="183.5500031"/>
    <n v="179.8999939"/>
    <n v="182.97000120000001"/>
    <x v="1134"/>
  </r>
  <r>
    <x v="1142"/>
    <x v="25"/>
    <x v="6"/>
    <x v="4"/>
    <s v="Q3"/>
    <n v="177.25138849999999"/>
    <n v="177.6900024"/>
    <n v="182.5"/>
    <n v="176.47000120000001"/>
    <n v="181.92999270000001"/>
    <x v="1135"/>
  </r>
  <r>
    <x v="1143"/>
    <x v="12"/>
    <x v="6"/>
    <x v="4"/>
    <s v="Q3"/>
    <n v="177.22145080000001"/>
    <n v="177.6600037"/>
    <n v="180.28999329999999"/>
    <n v="177.13000489999999"/>
    <n v="178.88000489999999"/>
    <x v="1136"/>
  </r>
  <r>
    <x v="1144"/>
    <x v="13"/>
    <x v="6"/>
    <x v="4"/>
    <s v="Q3"/>
    <n v="181.2215424"/>
    <n v="181.66999820000001"/>
    <n v="182.6999969"/>
    <n v="180.22999569999999"/>
    <n v="180.5899963"/>
    <x v="1137"/>
  </r>
  <r>
    <x v="1145"/>
    <x v="14"/>
    <x v="6"/>
    <x v="4"/>
    <s v="Q3"/>
    <n v="181.3412476"/>
    <n v="181.78999329999999"/>
    <n v="183.61000060000001"/>
    <n v="181.53999329999999"/>
    <n v="182.0500031"/>
    <x v="1138"/>
  </r>
  <r>
    <x v="1146"/>
    <x v="27"/>
    <x v="6"/>
    <x v="4"/>
    <s v="Q3"/>
    <n v="172.20388790000001"/>
    <n v="172.63000489999999"/>
    <n v="176.1900024"/>
    <n v="171.82000729999999"/>
    <n v="173.6000061"/>
    <x v="1139"/>
  </r>
  <r>
    <x v="1147"/>
    <x v="28"/>
    <x v="6"/>
    <x v="4"/>
    <s v="Q3"/>
    <n v="166.8670807"/>
    <n v="167.27999879999999"/>
    <n v="173.41999820000001"/>
    <n v="167.1900024"/>
    <n v="172.52000430000001"/>
    <x v="1140"/>
  </r>
  <r>
    <x v="1148"/>
    <x v="17"/>
    <x v="6"/>
    <x v="4"/>
    <s v="Q3"/>
    <n v="166.5877686"/>
    <n v="167"/>
    <n v="168.0899963"/>
    <n v="164.0599976"/>
    <n v="167.1499939"/>
    <x v="1141"/>
  </r>
  <r>
    <x v="1149"/>
    <x v="18"/>
    <x v="6"/>
    <x v="4"/>
    <s v="Q3"/>
    <n v="169.1115265"/>
    <n v="169.52999879999999"/>
    <n v="170.42999270000001"/>
    <n v="167.9900055"/>
    <n v="168.83000179999999"/>
    <x v="1142"/>
  </r>
  <r>
    <x v="1150"/>
    <x v="19"/>
    <x v="6"/>
    <x v="4"/>
    <s v="Q3"/>
    <n v="169.86964420000001"/>
    <n v="170.28999329999999"/>
    <n v="171.22999569999999"/>
    <n v="168.4400024"/>
    <n v="170.2400055"/>
    <x v="1143"/>
  </r>
  <r>
    <x v="1151"/>
    <x v="30"/>
    <x v="7"/>
    <x v="4"/>
    <s v="Q3"/>
    <n v="171.11654659999999"/>
    <n v="171.53999329999999"/>
    <n v="174.25"/>
    <n v="170.0099945"/>
    <n v="173.2400055"/>
    <x v="1144"/>
  </r>
  <r>
    <x v="1152"/>
    <x v="29"/>
    <x v="7"/>
    <x v="4"/>
    <s v="Q3"/>
    <n v="170.33848570000001"/>
    <n v="170.7599945"/>
    <n v="174.0500031"/>
    <n v="168.88000489999999"/>
    <n v="170.25"/>
    <x v="1145"/>
  </r>
  <r>
    <x v="1153"/>
    <x v="21"/>
    <x v="7"/>
    <x v="4"/>
    <s v="Q3"/>
    <n v="166.24862669999999"/>
    <n v="166.6600037"/>
    <n v="168.5099945"/>
    <n v="164.66999820000001"/>
    <n v="166.4400024"/>
    <x v="1146"/>
  </r>
  <r>
    <x v="1154"/>
    <x v="1"/>
    <x v="7"/>
    <x v="4"/>
    <s v="Q3"/>
    <n v="158.85690310000001"/>
    <n v="159.25"/>
    <n v="164.42999270000001"/>
    <n v="154.92999270000001"/>
    <n v="155.5"/>
    <x v="1147"/>
  </r>
  <r>
    <x v="1155"/>
    <x v="2"/>
    <x v="7"/>
    <x v="4"/>
    <s v="Q3"/>
    <n v="157.8992767"/>
    <n v="158.28999329999999"/>
    <n v="160.57000729999999"/>
    <n v="156.4100037"/>
    <n v="159.33000179999999"/>
    <x v="1148"/>
  </r>
  <r>
    <x v="1156"/>
    <x v="3"/>
    <x v="7"/>
    <x v="4"/>
    <s v="Q3"/>
    <n v="158.54766849999999"/>
    <n v="158.9400024"/>
    <n v="162.97999569999999"/>
    <n v="158.47000120000001"/>
    <n v="161.25"/>
    <x v="1149"/>
  </r>
  <r>
    <x v="1157"/>
    <x v="4"/>
    <x v="7"/>
    <x v="4"/>
    <s v="Q3"/>
    <n v="161.6300354"/>
    <n v="162.02999879999999"/>
    <n v="163.6900024"/>
    <n v="160.21000670000001"/>
    <n v="160.5099945"/>
    <x v="1150"/>
  </r>
  <r>
    <x v="1158"/>
    <x v="23"/>
    <x v="7"/>
    <x v="4"/>
    <s v="Q3"/>
    <n v="163.2659912"/>
    <n v="163.66999820000001"/>
    <n v="163.78999329999999"/>
    <n v="159.0599976"/>
    <n v="160.0099945"/>
    <x v="1151"/>
  </r>
  <r>
    <x v="1159"/>
    <x v="6"/>
    <x v="7"/>
    <x v="4"/>
    <s v="Q3"/>
    <n v="161.88938899999999"/>
    <n v="162.28999329999999"/>
    <n v="164.8999939"/>
    <n v="161.8399963"/>
    <n v="164.3500061"/>
    <x v="1152"/>
  </r>
  <r>
    <x v="1160"/>
    <x v="7"/>
    <x v="7"/>
    <x v="4"/>
    <s v="Q3"/>
    <n v="163.75477599999999"/>
    <n v="164.1600037"/>
    <n v="164.72999569999999"/>
    <n v="162.97000120000001"/>
    <n v="163.4100037"/>
    <x v="1153"/>
  </r>
  <r>
    <x v="1161"/>
    <x v="8"/>
    <x v="7"/>
    <x v="4"/>
    <s v="Q3"/>
    <n v="159.97412109999999"/>
    <n v="160.36999510000001"/>
    <n v="163.22000120000001"/>
    <n v="157.71000670000001"/>
    <n v="162.3999939"/>
    <x v="1154"/>
  </r>
  <r>
    <x v="1162"/>
    <x v="9"/>
    <x v="7"/>
    <x v="4"/>
    <s v="Q3"/>
    <n v="160.90185550000001"/>
    <n v="161.3000031"/>
    <n v="161.63999939999999"/>
    <n v="159.61000060000001"/>
    <n v="160.5"/>
    <x v="1155"/>
  </r>
  <r>
    <x v="1163"/>
    <x v="25"/>
    <x v="7"/>
    <x v="4"/>
    <s v="Q3"/>
    <n v="162.55775449999999"/>
    <n v="162.96000670000001"/>
    <n v="165.0599976"/>
    <n v="161.13000489999999"/>
    <n v="161.47000120000001"/>
    <x v="1156"/>
  </r>
  <r>
    <x v="1164"/>
    <x v="26"/>
    <x v="7"/>
    <x v="4"/>
    <s v="Q3"/>
    <n v="166.25859070000001"/>
    <n v="166.66999820000001"/>
    <n v="166.6900024"/>
    <n v="164.2599945"/>
    <n v="165.27999879999999"/>
    <x v="1157"/>
  </r>
  <r>
    <x v="1165"/>
    <x v="11"/>
    <x v="7"/>
    <x v="4"/>
    <s v="Q3"/>
    <n v="166.7673187"/>
    <n v="167.17999270000001"/>
    <n v="168.63999939999999"/>
    <n v="166.82000729999999"/>
    <n v="166.8999939"/>
    <x v="1158"/>
  </r>
  <r>
    <x v="1166"/>
    <x v="12"/>
    <x v="7"/>
    <x v="4"/>
    <s v="Q3"/>
    <n v="165.4406128"/>
    <n v="165.8500061"/>
    <n v="166.8500061"/>
    <n v="164.66999820000001"/>
    <n v="165.1499939"/>
    <x v="1159"/>
  </r>
  <r>
    <x v="1167"/>
    <x v="13"/>
    <x v="7"/>
    <x v="4"/>
    <s v="Q3"/>
    <n v="163.3956757"/>
    <n v="163.8000031"/>
    <n v="167.5899963"/>
    <n v="163.3099976"/>
    <n v="167.2599945"/>
    <x v="1160"/>
  </r>
  <r>
    <x v="1168"/>
    <x v="28"/>
    <x v="7"/>
    <x v="4"/>
    <s v="Q3"/>
    <n v="165.2111816"/>
    <n v="165.61999510000001"/>
    <n v="166.17999270000001"/>
    <n v="163.83000179999999"/>
    <n v="164.72000120000001"/>
    <x v="1161"/>
  </r>
  <r>
    <x v="1169"/>
    <x v="15"/>
    <x v="7"/>
    <x v="4"/>
    <s v="Q3"/>
    <n v="165.74984739999999"/>
    <n v="166.1600037"/>
    <n v="167.5500031"/>
    <n v="164.46000670000001"/>
    <n v="166.38000489999999"/>
    <x v="1162"/>
  </r>
  <r>
    <x v="1170"/>
    <x v="16"/>
    <x v="7"/>
    <x v="4"/>
    <s v="Q3"/>
    <n v="164.27348330000001"/>
    <n v="164.67999270000001"/>
    <n v="166.4400024"/>
    <n v="164.46000670000001"/>
    <n v="165.8399963"/>
    <x v="1163"/>
  </r>
  <r>
    <x v="1171"/>
    <x v="17"/>
    <x v="7"/>
    <x v="4"/>
    <s v="Q3"/>
    <n v="162.44801330000001"/>
    <n v="162.8500061"/>
    <n v="165.6000061"/>
    <n v="161.52999879999999"/>
    <n v="165.03999329999999"/>
    <x v="1164"/>
  </r>
  <r>
    <x v="1172"/>
    <x v="18"/>
    <x v="7"/>
    <x v="4"/>
    <s v="Q3"/>
    <n v="161.380661"/>
    <n v="161.77999879999999"/>
    <n v="165.97000120000001"/>
    <n v="160.25"/>
    <n v="164.3099976"/>
    <x v="1165"/>
  </r>
  <r>
    <x v="1173"/>
    <x v="0"/>
    <x v="8"/>
    <x v="4"/>
    <s v="Q3"/>
    <n v="162.97671510000001"/>
    <n v="163.38000489999999"/>
    <n v="163.6600037"/>
    <n v="161.6900024"/>
    <n v="162.61999510000001"/>
    <x v="1166"/>
  </r>
  <r>
    <x v="1174"/>
    <x v="20"/>
    <x v="8"/>
    <x v="4"/>
    <s v="Q3"/>
    <n v="156.97155760000001"/>
    <n v="157.36000060000001"/>
    <n v="161.8500061"/>
    <n v="156.47999569999999"/>
    <n v="161.72000120000001"/>
    <x v="1167"/>
  </r>
  <r>
    <x v="1175"/>
    <x v="21"/>
    <x v="8"/>
    <x v="4"/>
    <s v="Q3"/>
    <n v="156.0638123"/>
    <n v="156.4499969"/>
    <n v="159"/>
    <n v="155.96000670000001"/>
    <n v="156.6600037"/>
    <x v="1168"/>
  </r>
  <r>
    <x v="1176"/>
    <x v="1"/>
    <x v="8"/>
    <x v="4"/>
    <s v="Q3"/>
    <n v="156.85186770000001"/>
    <n v="157.2400055"/>
    <n v="159.4499969"/>
    <n v="155.97999569999999"/>
    <n v="156.3000031"/>
    <x v="1169"/>
  </r>
  <r>
    <x v="1177"/>
    <x v="4"/>
    <x v="8"/>
    <x v="4"/>
    <s v="Q3"/>
    <n v="150.5474548"/>
    <n v="150.91999820000001"/>
    <n v="157.83000179999999"/>
    <n v="150.5500031"/>
    <n v="157.3000031"/>
    <x v="1170"/>
  </r>
  <r>
    <x v="1178"/>
    <x v="5"/>
    <x v="8"/>
    <x v="4"/>
    <s v="Q3"/>
    <n v="148.5397644"/>
    <n v="148.71000670000001"/>
    <n v="153.3999939"/>
    <n v="147.22000120000001"/>
    <n v="152.5099945"/>
    <x v="1171"/>
  </r>
  <r>
    <x v="1179"/>
    <x v="22"/>
    <x v="8"/>
    <x v="4"/>
    <s v="Q3"/>
    <n v="148.48982240000001"/>
    <n v="148.6600037"/>
    <n v="151.27000430000001"/>
    <n v="148.3399963"/>
    <n v="150.4499969"/>
    <x v="1172"/>
  </r>
  <r>
    <x v="1180"/>
    <x v="23"/>
    <x v="8"/>
    <x v="4"/>
    <s v="Q3"/>
    <n v="150.98695369999999"/>
    <n v="151.1600037"/>
    <n v="151.5"/>
    <n v="147.52000430000001"/>
    <n v="149.91999820000001"/>
    <x v="1173"/>
  </r>
  <r>
    <x v="1181"/>
    <x v="6"/>
    <x v="8"/>
    <x v="4"/>
    <s v="Q3"/>
    <n v="154.51292419999999"/>
    <n v="154.6900024"/>
    <n v="154.82000729999999"/>
    <n v="152.6499939"/>
    <n v="153.8000031"/>
    <x v="1174"/>
  </r>
  <r>
    <x v="1182"/>
    <x v="9"/>
    <x v="8"/>
    <x v="4"/>
    <s v="Q3"/>
    <n v="157.27975459999999"/>
    <n v="157.46000670000001"/>
    <n v="158.38000489999999"/>
    <n v="155.21000670000001"/>
    <n v="155.42999270000001"/>
    <x v="1175"/>
  </r>
  <r>
    <x v="1183"/>
    <x v="10"/>
    <x v="8"/>
    <x v="4"/>
    <s v="Q3"/>
    <n v="157.8790588"/>
    <n v="158.0599976"/>
    <n v="158.25"/>
    <n v="156.6000061"/>
    <n v="157.3099976"/>
    <x v="1176"/>
  </r>
  <r>
    <x v="1184"/>
    <x v="24"/>
    <x v="8"/>
    <x v="4"/>
    <s v="Q3"/>
    <n v="159.137619"/>
    <n v="159.32000729999999"/>
    <n v="160.5500031"/>
    <n v="158.38000489999999"/>
    <n v="159.02000430000001"/>
    <x v="1177"/>
  </r>
  <r>
    <x v="1185"/>
    <x v="25"/>
    <x v="8"/>
    <x v="4"/>
    <s v="Q3"/>
    <n v="159.62705990000001"/>
    <n v="159.8099976"/>
    <n v="160.5"/>
    <n v="158.6000061"/>
    <n v="159.86000060000001"/>
    <x v="1178"/>
  </r>
  <r>
    <x v="1186"/>
    <x v="26"/>
    <x v="8"/>
    <x v="4"/>
    <s v="Q3"/>
    <n v="161.95439150000001"/>
    <n v="162.13999939999999"/>
    <n v="163.78999329999999"/>
    <n v="161.3399963"/>
    <n v="163.71000670000001"/>
    <x v="1179"/>
  </r>
  <r>
    <x v="1187"/>
    <x v="13"/>
    <x v="8"/>
    <x v="4"/>
    <s v="Q3"/>
    <n v="163.40272519999999"/>
    <n v="163.5899963"/>
    <n v="163.72999569999999"/>
    <n v="162.0599976"/>
    <n v="163.5"/>
    <x v="1180"/>
  </r>
  <r>
    <x v="1188"/>
    <x v="14"/>
    <x v="8"/>
    <x v="4"/>
    <s v="Q3"/>
    <n v="161.66471859999999"/>
    <n v="161.8500061"/>
    <n v="165.4900055"/>
    <n v="161.66999820000001"/>
    <n v="164.3500061"/>
    <x v="1181"/>
  </r>
  <r>
    <x v="1189"/>
    <x v="27"/>
    <x v="8"/>
    <x v="4"/>
    <s v="Q3"/>
    <n v="162.1042023"/>
    <n v="162.28999329999999"/>
    <n v="163.22000120000001"/>
    <n v="160.6900024"/>
    <n v="163.02999879999999"/>
    <x v="1182"/>
  </r>
  <r>
    <x v="1190"/>
    <x v="28"/>
    <x v="8"/>
    <x v="4"/>
    <s v="Q3"/>
    <n v="161.30512999999999"/>
    <n v="161.4900055"/>
    <n v="162.8099976"/>
    <n v="161.3000031"/>
    <n v="161.47000120000001"/>
    <x v="1183"/>
  </r>
  <r>
    <x v="1191"/>
    <x v="15"/>
    <x v="8"/>
    <x v="4"/>
    <s v="Q3"/>
    <n v="162.54370119999999"/>
    <n v="162.72999569999999"/>
    <n v="164.08000179999999"/>
    <n v="162.27999879999999"/>
    <n v="163.63999939999999"/>
    <x v="1184"/>
  </r>
  <r>
    <x v="1192"/>
    <x v="18"/>
    <x v="8"/>
    <x v="4"/>
    <s v="Q3"/>
    <n v="163.76231379999999"/>
    <n v="163.9499969"/>
    <n v="165.6999969"/>
    <n v="162.63000489999999"/>
    <n v="162.8099976"/>
    <x v="1185"/>
  </r>
  <r>
    <x v="1193"/>
    <x v="30"/>
    <x v="9"/>
    <x v="4"/>
    <s v="Q4"/>
    <n v="165.66014100000001"/>
    <n v="165.8500061"/>
    <n v="166.1499939"/>
    <n v="163.2599945"/>
    <n v="163.32000729999999"/>
    <x v="1186"/>
  </r>
  <r>
    <x v="1194"/>
    <x v="29"/>
    <x v="9"/>
    <x v="4"/>
    <s v="Q4"/>
    <n v="166.79884340000001"/>
    <n v="166.9900055"/>
    <n v="169.1600037"/>
    <n v="164.58000179999999"/>
    <n v="167.6900024"/>
    <x v="1187"/>
  </r>
  <r>
    <x v="1195"/>
    <x v="0"/>
    <x v="9"/>
    <x v="4"/>
    <s v="Q4"/>
    <n v="165.67013549999999"/>
    <n v="165.86000060000001"/>
    <n v="167.52000430000001"/>
    <n v="164.72999569999999"/>
    <n v="166.41999820000001"/>
    <x v="1188"/>
  </r>
  <r>
    <x v="1196"/>
    <x v="20"/>
    <x v="9"/>
    <x v="4"/>
    <s v="Q4"/>
    <n v="165.67013549999999"/>
    <n v="165.86000060000001"/>
    <n v="166.63999939999999"/>
    <n v="163.91999820000001"/>
    <n v="164.4100037"/>
    <x v="1189"/>
  </r>
  <r>
    <x v="1197"/>
    <x v="2"/>
    <x v="9"/>
    <x v="4"/>
    <s v="Q4"/>
    <n v="166.8687592"/>
    <n v="167.0599976"/>
    <n v="168.22999569999999"/>
    <n v="165.47999569999999"/>
    <n v="168.0599976"/>
    <x v="1190"/>
  </r>
  <r>
    <x v="1198"/>
    <x v="3"/>
    <x v="9"/>
    <x v="4"/>
    <s v="Q4"/>
    <n v="162.79342650000001"/>
    <n v="162.97999569999999"/>
    <n v="168.47999569999999"/>
    <n v="162.75"/>
    <n v="167.72000120000001"/>
    <x v="1191"/>
  </r>
  <r>
    <x v="1199"/>
    <x v="4"/>
    <x v="9"/>
    <x v="4"/>
    <s v="Q4"/>
    <n v="164.1918335"/>
    <n v="164.38000489999999"/>
    <n v="164.72999569999999"/>
    <n v="162.86999510000001"/>
    <n v="163.9400024"/>
    <x v="1192"/>
  </r>
  <r>
    <x v="1200"/>
    <x v="5"/>
    <x v="9"/>
    <x v="4"/>
    <s v="Q4"/>
    <n v="161.67471309999999"/>
    <n v="161.86000060000001"/>
    <n v="164.8399963"/>
    <n v="159.7400055"/>
    <n v="163.4499969"/>
    <x v="1193"/>
  </r>
  <r>
    <x v="1201"/>
    <x v="22"/>
    <x v="9"/>
    <x v="4"/>
    <s v="Q4"/>
    <n v="161.89445499999999"/>
    <n v="162.08000179999999"/>
    <n v="163.07000729999999"/>
    <n v="160.3999939"/>
    <n v="160.86999510000001"/>
    <x v="1194"/>
  </r>
  <r>
    <x v="1202"/>
    <x v="7"/>
    <x v="9"/>
    <x v="4"/>
    <s v="Q4"/>
    <n v="163.0531311"/>
    <n v="163.2400055"/>
    <n v="163.8999939"/>
    <n v="161.2400055"/>
    <n v="162.13000489999999"/>
    <x v="1195"/>
  </r>
  <r>
    <x v="1203"/>
    <x v="8"/>
    <x v="9"/>
    <x v="4"/>
    <s v="Q4"/>
    <n v="164.7711639"/>
    <n v="164.96000670000001"/>
    <n v="166.22999569999999"/>
    <n v="163.3999939"/>
    <n v="163.63999939999999"/>
    <x v="1196"/>
  </r>
  <r>
    <x v="1204"/>
    <x v="9"/>
    <x v="9"/>
    <x v="4"/>
    <s v="Q4"/>
    <n v="165.27059940000001"/>
    <n v="165.46000670000001"/>
    <n v="167.67999270000001"/>
    <n v="164.63000489999999"/>
    <n v="165.78999329999999"/>
    <x v="1197"/>
  </r>
  <r>
    <x v="1205"/>
    <x v="10"/>
    <x v="9"/>
    <x v="4"/>
    <s v="Q4"/>
    <n v="164.970932"/>
    <n v="165.1600037"/>
    <n v="165.8000031"/>
    <n v="163.7400055"/>
    <n v="164.52999879999999"/>
    <x v="1198"/>
  </r>
  <r>
    <x v="1206"/>
    <x v="24"/>
    <x v="9"/>
    <x v="4"/>
    <s v="Q4"/>
    <n v="162.74346919999999"/>
    <n v="162.92999270000001"/>
    <n v="166.36999510000001"/>
    <n v="162.7599945"/>
    <n v="165.72999569999999"/>
    <x v="1199"/>
  </r>
  <r>
    <x v="1207"/>
    <x v="11"/>
    <x v="9"/>
    <x v="4"/>
    <s v="Q4"/>
    <n v="163.2329254"/>
    <n v="163.41999820000001"/>
    <n v="164.71000670000001"/>
    <n v="163.08000179999999"/>
    <n v="163.1900024"/>
    <x v="1200"/>
  </r>
  <r>
    <x v="1208"/>
    <x v="12"/>
    <x v="9"/>
    <x v="4"/>
    <s v="Q4"/>
    <n v="163.88218689999999"/>
    <n v="164.07000729999999"/>
    <n v="164.5"/>
    <n v="162.61999510000001"/>
    <n v="162.9499969"/>
    <x v="1201"/>
  </r>
  <r>
    <x v="1209"/>
    <x v="13"/>
    <x v="9"/>
    <x v="4"/>
    <s v="Q4"/>
    <n v="164.9509583"/>
    <n v="165.13999939999999"/>
    <n v="165.77000430000001"/>
    <n v="162.97999569999999"/>
    <n v="162.97999569999999"/>
    <x v="1202"/>
  </r>
  <r>
    <x v="1210"/>
    <x v="14"/>
    <x v="9"/>
    <x v="4"/>
    <s v="Q4"/>
    <n v="162.59365840000001"/>
    <n v="162.77999879999999"/>
    <n v="165.82000729999999"/>
    <n v="161.92999270000001"/>
    <n v="164.7599945"/>
    <x v="1203"/>
  </r>
  <r>
    <x v="1211"/>
    <x v="27"/>
    <x v="9"/>
    <x v="4"/>
    <s v="Q4"/>
    <n v="162.53372189999999"/>
    <n v="162.72000120000001"/>
    <n v="163.33000179999999"/>
    <n v="161.0099945"/>
    <n v="162.83000179999999"/>
    <x v="1204"/>
  </r>
  <r>
    <x v="1212"/>
    <x v="16"/>
    <x v="9"/>
    <x v="4"/>
    <s v="Q4"/>
    <n v="165.08081050000001"/>
    <n v="165.27000430000001"/>
    <n v="165.5899963"/>
    <n v="163.41999820000001"/>
    <n v="163.66999820000001"/>
    <x v="1205"/>
  </r>
  <r>
    <x v="1213"/>
    <x v="17"/>
    <x v="9"/>
    <x v="4"/>
    <s v="Q4"/>
    <n v="166.52914430000001"/>
    <n v="166.72000120000001"/>
    <n v="168.75"/>
    <n v="163.9499969"/>
    <n v="168.75"/>
    <x v="1206"/>
  </r>
  <r>
    <x v="1214"/>
    <x v="18"/>
    <x v="9"/>
    <x v="4"/>
    <s v="Q4"/>
    <n v="169.48574830000001"/>
    <n v="169.67999270000001"/>
    <n v="170.38000489999999"/>
    <n v="167.0899963"/>
    <n v="167.72999569999999"/>
    <x v="1207"/>
  </r>
  <r>
    <x v="1215"/>
    <x v="19"/>
    <x v="9"/>
    <x v="4"/>
    <s v="Q4"/>
    <n v="174.26028439999999"/>
    <n v="174.46000670000001"/>
    <n v="182.02000430000001"/>
    <n v="174.0599976"/>
    <n v="180.67999270000001"/>
    <x v="1208"/>
  </r>
  <r>
    <x v="1216"/>
    <x v="30"/>
    <x v="10"/>
    <x v="4"/>
    <s v="Q4"/>
    <n v="170.91412349999999"/>
    <n v="171.11000060000001"/>
    <n v="176.82000729999999"/>
    <n v="171"/>
    <n v="173.13000489999999"/>
    <x v="1209"/>
  </r>
  <r>
    <x v="1217"/>
    <x v="20"/>
    <x v="10"/>
    <x v="4"/>
    <s v="Q4"/>
    <n v="171.09390260000001"/>
    <n v="171.28999329999999"/>
    <n v="172.32000729999999"/>
    <n v="168.88000489999999"/>
    <n v="170.07000729999999"/>
    <x v="1210"/>
  </r>
  <r>
    <x v="1218"/>
    <x v="21"/>
    <x v="10"/>
    <x v="4"/>
    <s v="Q4"/>
    <n v="169.0462646"/>
    <n v="169.2400055"/>
    <n v="170.72999569999999"/>
    <n v="168.0099945"/>
    <n v="169.92999270000001"/>
    <x v="1211"/>
  </r>
  <r>
    <x v="1219"/>
    <x v="1"/>
    <x v="10"/>
    <x v="4"/>
    <s v="Q4"/>
    <n v="169.5457001"/>
    <n v="169.7400055"/>
    <n v="170.52999879999999"/>
    <n v="168.8399963"/>
    <n v="169.42999270000001"/>
    <x v="1212"/>
  </r>
  <r>
    <x v="1220"/>
    <x v="2"/>
    <x v="10"/>
    <x v="4"/>
    <s v="Q4"/>
    <n v="176.3079376"/>
    <n v="176.5099945"/>
    <n v="176.9400024"/>
    <n v="173.5"/>
    <n v="173.8000031"/>
    <x v="1213"/>
  </r>
  <r>
    <x v="1221"/>
    <x v="3"/>
    <x v="10"/>
    <x v="4"/>
    <s v="Q4"/>
    <n v="180.54309079999999"/>
    <n v="180.75"/>
    <n v="181.08000179999999"/>
    <n v="177.1900024"/>
    <n v="177.4100037"/>
    <x v="1214"/>
  </r>
  <r>
    <x v="1222"/>
    <x v="22"/>
    <x v="10"/>
    <x v="4"/>
    <s v="Q4"/>
    <n v="178.14584350000001"/>
    <n v="178.3500061"/>
    <n v="180.8999939"/>
    <n v="178.08000179999999"/>
    <n v="180.6499939"/>
    <x v="1215"/>
  </r>
  <r>
    <x v="1223"/>
    <x v="23"/>
    <x v="10"/>
    <x v="4"/>
    <s v="Q4"/>
    <n v="180.14355470000001"/>
    <n v="180.3500061"/>
    <n v="180.5500031"/>
    <n v="178.47000120000001"/>
    <n v="178.58000179999999"/>
    <x v="1216"/>
  </r>
  <r>
    <x v="1224"/>
    <x v="6"/>
    <x v="10"/>
    <x v="4"/>
    <s v="Q4"/>
    <n v="181.41207890000001"/>
    <n v="181.61999510000001"/>
    <n v="182.4900055"/>
    <n v="179.38999939999999"/>
    <n v="179.82000729999999"/>
    <x v="1217"/>
  </r>
  <r>
    <x v="1225"/>
    <x v="7"/>
    <x v="10"/>
    <x v="4"/>
    <s v="Q4"/>
    <n v="178.6752319"/>
    <n v="178.88000489999999"/>
    <n v="180.96000670000001"/>
    <n v="178.53999329999999"/>
    <n v="180.46000670000001"/>
    <x v="1218"/>
  </r>
  <r>
    <x v="1226"/>
    <x v="8"/>
    <x v="10"/>
    <x v="4"/>
    <s v="Q4"/>
    <n v="175.37899780000001"/>
    <n v="175.58000179999999"/>
    <n v="178.82000729999999"/>
    <n v="174.32000729999999"/>
    <n v="178.27999879999999"/>
    <x v="1219"/>
  </r>
  <r>
    <x v="1227"/>
    <x v="24"/>
    <x v="10"/>
    <x v="4"/>
    <s v="Q4"/>
    <n v="172.2925415"/>
    <n v="172.4900055"/>
    <n v="174.13999939999999"/>
    <n v="171.22000120000001"/>
    <n v="173.72999569999999"/>
    <x v="1220"/>
  </r>
  <r>
    <x v="1228"/>
    <x v="25"/>
    <x v="10"/>
    <x v="4"/>
    <s v="Q4"/>
    <n v="175.09931950000001"/>
    <n v="175.3000031"/>
    <n v="175.4400024"/>
    <n v="172.8999939"/>
    <n v="173.41999820000001"/>
    <x v="1221"/>
  </r>
  <r>
    <x v="1229"/>
    <x v="26"/>
    <x v="10"/>
    <x v="4"/>
    <s v="Q4"/>
    <n v="177.9160919"/>
    <n v="178.11999510000001"/>
    <n v="178.86999510000001"/>
    <n v="173.5599976"/>
    <n v="173.72000120000001"/>
    <x v="1222"/>
  </r>
  <r>
    <x v="1230"/>
    <x v="11"/>
    <x v="10"/>
    <x v="4"/>
    <s v="Q4"/>
    <n v="175.77853390000001"/>
    <n v="175.97999569999999"/>
    <n v="177.67999270000001"/>
    <n v="173.77999879999999"/>
    <n v="177.3399963"/>
    <x v="1223"/>
  </r>
  <r>
    <x v="1231"/>
    <x v="12"/>
    <x v="10"/>
    <x v="4"/>
    <s v="Q4"/>
    <n v="167.4381104"/>
    <n v="167.63000489999999"/>
    <n v="174.13000489999999"/>
    <n v="163.6999969"/>
    <n v="173.8999939"/>
    <x v="1224"/>
  </r>
  <r>
    <x v="1232"/>
    <x v="27"/>
    <x v="10"/>
    <x v="4"/>
    <s v="Q4"/>
    <n v="164.5713806"/>
    <n v="164.7599945"/>
    <n v="166.46000670000001"/>
    <n v="163.8999939"/>
    <n v="165.8500061"/>
    <x v="1225"/>
  </r>
  <r>
    <x v="1233"/>
    <x v="28"/>
    <x v="10"/>
    <x v="4"/>
    <s v="Q4"/>
    <n v="167.45806880000001"/>
    <n v="167.6499939"/>
    <n v="168.63000489999999"/>
    <n v="165.61000060000001"/>
    <n v="166.0899963"/>
    <x v="1226"/>
  </r>
  <r>
    <x v="1234"/>
    <x v="15"/>
    <x v="10"/>
    <x v="4"/>
    <s v="Q4"/>
    <n v="168.92639159999999"/>
    <n v="169.11999510000001"/>
    <n v="169.82000729999999"/>
    <n v="167.58000179999999"/>
    <n v="167.63000489999999"/>
    <x v="1227"/>
  </r>
  <r>
    <x v="1235"/>
    <x v="17"/>
    <x v="10"/>
    <x v="4"/>
    <s v="Q4"/>
    <n v="169.0362701"/>
    <n v="169.22999569999999"/>
    <n v="169.47999569999999"/>
    <n v="168.02000430000001"/>
    <n v="169"/>
    <x v="1228"/>
  </r>
  <r>
    <x v="1236"/>
    <x v="29"/>
    <x v="11"/>
    <x v="4"/>
    <s v="Q4"/>
    <n v="168.7565918"/>
    <n v="168.9499969"/>
    <n v="169.42999270000001"/>
    <n v="167.1600037"/>
    <n v="168.5"/>
    <x v="1229"/>
  </r>
  <r>
    <x v="1237"/>
    <x v="0"/>
    <x v="11"/>
    <x v="4"/>
    <s v="Q4"/>
    <n v="171.29368590000001"/>
    <n v="171.4900055"/>
    <n v="172.08000179999999"/>
    <n v="168.57000729999999"/>
    <n v="168.77000430000001"/>
    <x v="1230"/>
  </r>
  <r>
    <x v="1238"/>
    <x v="20"/>
    <x v="11"/>
    <x v="4"/>
    <s v="Q4"/>
    <n v="171.14384459999999"/>
    <n v="171.3399963"/>
    <n v="172.67999270000001"/>
    <n v="170.8500061"/>
    <n v="171.4900055"/>
    <x v="1231"/>
  </r>
  <r>
    <x v="1239"/>
    <x v="21"/>
    <x v="11"/>
    <x v="4"/>
    <s v="Q4"/>
    <n v="174.17037959999999"/>
    <n v="174.36999510000001"/>
    <n v="174.9100037"/>
    <n v="171.0599976"/>
    <n v="171.1499939"/>
    <x v="1232"/>
  </r>
  <r>
    <x v="1240"/>
    <x v="1"/>
    <x v="11"/>
    <x v="4"/>
    <s v="Q4"/>
    <n v="172.44236760000001"/>
    <n v="172.63999939999999"/>
    <n v="176.0599976"/>
    <n v="172.33000179999999"/>
    <n v="175.36000060000001"/>
    <x v="1233"/>
  </r>
  <r>
    <x v="1241"/>
    <x v="4"/>
    <x v="11"/>
    <x v="4"/>
    <s v="Q4"/>
    <n v="174.51000980000001"/>
    <n v="174.71000670000001"/>
    <n v="175.08000179999999"/>
    <n v="171.86000060000001"/>
    <n v="172.02999879999999"/>
    <x v="1234"/>
  </r>
  <r>
    <x v="1242"/>
    <x v="5"/>
    <x v="11"/>
    <x v="4"/>
    <s v="Q4"/>
    <n v="175.36999510000001"/>
    <n v="175.36999510000001"/>
    <n v="176.2599945"/>
    <n v="173.6499939"/>
    <n v="173.96000670000001"/>
    <x v="1235"/>
  </r>
  <r>
    <x v="1243"/>
    <x v="22"/>
    <x v="11"/>
    <x v="4"/>
    <s v="Q4"/>
    <n v="185.16999820000001"/>
    <n v="185.16999820000001"/>
    <n v="186.36000060000001"/>
    <n v="181.0500031"/>
    <n v="182.8500061"/>
    <x v="1236"/>
  </r>
  <r>
    <x v="1244"/>
    <x v="23"/>
    <x v="11"/>
    <x v="4"/>
    <s v="Q4"/>
    <n v="195.3999939"/>
    <n v="195.3999939"/>
    <n v="195.61000060000001"/>
    <n v="184.8500061"/>
    <n v="185.3099976"/>
    <x v="1237"/>
  </r>
  <r>
    <x v="1245"/>
    <x v="6"/>
    <x v="11"/>
    <x v="4"/>
    <s v="Q4"/>
    <n v="191.96000670000001"/>
    <n v="191.96000670000001"/>
    <n v="195.17999270000001"/>
    <n v="191.71000670000001"/>
    <n v="195"/>
    <x v="1238"/>
  </r>
  <r>
    <x v="1246"/>
    <x v="9"/>
    <x v="11"/>
    <x v="4"/>
    <s v="Q4"/>
    <n v="189.82000729999999"/>
    <n v="189.82000729999999"/>
    <n v="192.72999569999999"/>
    <n v="189.63999939999999"/>
    <n v="191.0099945"/>
    <x v="1239"/>
  </r>
  <r>
    <x v="1247"/>
    <x v="10"/>
    <x v="11"/>
    <x v="4"/>
    <s v="Q4"/>
    <n v="196.6600037"/>
    <n v="196.6600037"/>
    <n v="199"/>
    <n v="192.61999510000001"/>
    <n v="192.86999510000001"/>
    <x v="1240"/>
  </r>
  <r>
    <x v="1248"/>
    <x v="24"/>
    <x v="11"/>
    <x v="4"/>
    <s v="Q4"/>
    <n v="195.41999820000001"/>
    <n v="195.41999820000001"/>
    <n v="201.41999820000001"/>
    <n v="194.97999569999999"/>
    <n v="197.25"/>
    <x v="1241"/>
  </r>
  <r>
    <x v="1249"/>
    <x v="25"/>
    <x v="11"/>
    <x v="4"/>
    <s v="Q4"/>
    <n v="188.3999939"/>
    <n v="188.3999939"/>
    <n v="197"/>
    <n v="187.7400055"/>
    <n v="195.22000120000001"/>
    <x v="1242"/>
  </r>
  <r>
    <x v="1250"/>
    <x v="26"/>
    <x v="11"/>
    <x v="4"/>
    <s v="Q4"/>
    <n v="188.5099945"/>
    <n v="188.5099945"/>
    <n v="193.02999879999999"/>
    <n v="188.38000489999999"/>
    <n v="191.63000489999999"/>
    <x v="1243"/>
  </r>
  <r>
    <x v="1251"/>
    <x v="13"/>
    <x v="11"/>
    <x v="4"/>
    <s v="Q4"/>
    <n v="191.4100037"/>
    <n v="191.4100037"/>
    <n v="192.88999939999999"/>
    <n v="185.22000120000001"/>
    <n v="185.77999879999999"/>
    <x v="1244"/>
  </r>
  <r>
    <x v="1252"/>
    <x v="14"/>
    <x v="11"/>
    <x v="4"/>
    <s v="Q4"/>
    <n v="194.63000489999999"/>
    <n v="194.63000489999999"/>
    <n v="195.1000061"/>
    <n v="190.1499939"/>
    <n v="192.61999510000001"/>
    <x v="1245"/>
  </r>
  <r>
    <x v="1253"/>
    <x v="28"/>
    <x v="11"/>
    <x v="4"/>
    <s v="Q4"/>
    <n v="196.11000060000001"/>
    <n v="196.11000060000001"/>
    <n v="196.11000060000001"/>
    <n v="193.77999879999999"/>
    <n v="194.8399963"/>
    <x v="1246"/>
  </r>
  <r>
    <x v="1254"/>
    <x v="15"/>
    <x v="11"/>
    <x v="4"/>
    <s v="Q4"/>
    <n v="195.6000061"/>
    <n v="195.6000061"/>
    <n v="196.75"/>
    <n v="194.38000489999999"/>
    <n v="195.1499939"/>
    <x v="1247"/>
  </r>
  <r>
    <x v="1255"/>
    <x v="18"/>
    <x v="11"/>
    <x v="4"/>
    <s v="Q4"/>
    <n v="192.7599945"/>
    <n v="192.7599945"/>
    <n v="195.32000729999999"/>
    <n v="190.6499939"/>
    <n v="194.9499969"/>
    <x v="1248"/>
  </r>
  <r>
    <x v="1256"/>
    <x v="19"/>
    <x v="11"/>
    <x v="4"/>
    <s v="Q4"/>
    <n v="191.2400055"/>
    <n v="191.2400055"/>
    <n v="192.5500031"/>
    <n v="189.11999510000001"/>
    <n v="189.8000031"/>
    <x v="1249"/>
  </r>
  <r>
    <x v="1257"/>
    <x v="31"/>
    <x v="0"/>
    <x v="5"/>
    <s v="Q1"/>
    <n v="189.3000031"/>
    <n v="189.3000031"/>
    <n v="191.96000670000001"/>
    <n v="188.5099945"/>
    <n v="191.08000179999999"/>
    <x v="1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493A59-5874-4124-946A-9FB794DB879A}"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2">
  <location ref="G6:I14" firstHeaderRow="0" firstDataRow="1" firstDataCol="1" rowPageCount="1" colPageCount="1"/>
  <pivotFields count="13">
    <pivotField axis="axisRow" showAll="0">
      <items count="15">
        <item x="0"/>
        <item sd="0" x="1"/>
        <item x="2"/>
        <item x="3"/>
        <item x="4"/>
        <item x="5"/>
        <item x="6"/>
        <item x="7"/>
        <item x="8"/>
        <item x="9"/>
        <item x="10"/>
        <item x="11"/>
        <item x="12"/>
        <item x="13"/>
        <item t="default"/>
      </items>
    </pivotField>
    <pivotField axis="axisPage" multipleItemSelectionAllowed="1" showAll="0">
      <items count="33">
        <item h="1" x="31"/>
        <item h="1" x="30"/>
        <item h="1" x="29"/>
        <item h="1" x="0"/>
        <item h="1" x="20"/>
        <item h="1" x="21"/>
        <item h="1" x="1"/>
        <item x="2"/>
        <item h="1" x="3"/>
        <item h="1" x="4"/>
        <item h="1" x="5"/>
        <item h="1" x="22"/>
        <item h="1" x="23"/>
        <item h="1" x="6"/>
        <item h="1" x="7"/>
        <item h="1" x="8"/>
        <item h="1" x="9"/>
        <item h="1" x="10"/>
        <item h="1" x="24"/>
        <item h="1" x="25"/>
        <item h="1" x="26"/>
        <item h="1" x="11"/>
        <item h="1" x="12"/>
        <item h="1" x="13"/>
        <item h="1" x="14"/>
        <item h="1" x="27"/>
        <item h="1" x="28"/>
        <item h="1" x="15"/>
        <item h="1" x="16"/>
        <item h="1" x="17"/>
        <item h="1" x="18"/>
        <item h="1" x="19"/>
        <item t="default"/>
      </items>
    </pivotField>
    <pivotField multipleItemSelectionAllowed="1" showAll="0">
      <items count="13">
        <item x="0"/>
        <item x="1"/>
        <item x="2"/>
        <item x="3"/>
        <item x="4"/>
        <item x="5"/>
        <item x="6"/>
        <item x="7"/>
        <item x="8"/>
        <item x="9"/>
        <item x="10"/>
        <item x="11"/>
        <item t="default"/>
      </items>
    </pivotField>
    <pivotField multipleItemSelectionAllowed="1" showAll="0">
      <items count="7">
        <item x="5"/>
        <item x="0"/>
        <item x="1"/>
        <item x="2"/>
        <item x="3"/>
        <item x="4"/>
        <item t="default"/>
      </items>
    </pivotField>
    <pivotField showAll="0"/>
    <pivotField showAll="0"/>
    <pivotField showAll="0"/>
    <pivotField dataField="1" showAll="0"/>
    <pivotField dataField="1" showAll="0"/>
    <pivotField showAll="0"/>
    <pivotField showAll="0"/>
    <pivotField multipleItemSelectionAllowed="1" showAll="0">
      <items count="7">
        <item sd="0" x="0"/>
        <item sd="0" x="1"/>
        <item sd="0" x="2"/>
        <item sd="0" x="3"/>
        <item sd="0" x="4"/>
        <item sd="0" x="5"/>
        <item t="default"/>
      </items>
    </pivotField>
    <pivotField multipleItemSelectionAllowed="1" showAll="0">
      <items count="9">
        <item sd="0" x="0"/>
        <item sd="0" x="1"/>
        <item sd="0" x="2"/>
        <item sd="0" x="3"/>
        <item sd="0" x="4"/>
        <item sd="0" x="5"/>
        <item sd="0" x="6"/>
        <item sd="0" x="7"/>
        <item t="default"/>
      </items>
    </pivotField>
  </pivotFields>
  <rowFields count="1">
    <field x="0"/>
  </rowFields>
  <rowItems count="8">
    <i>
      <x v="2"/>
    </i>
    <i>
      <x v="3"/>
    </i>
    <i>
      <x v="5"/>
    </i>
    <i>
      <x v="6"/>
    </i>
    <i>
      <x v="8"/>
    </i>
    <i>
      <x v="10"/>
    </i>
    <i>
      <x v="11"/>
    </i>
    <i t="grand">
      <x/>
    </i>
  </rowItems>
  <colFields count="1">
    <field x="-2"/>
  </colFields>
  <colItems count="2">
    <i>
      <x/>
    </i>
    <i i="1">
      <x v="1"/>
    </i>
  </colItems>
  <pageFields count="1">
    <pageField fld="1" hier="-1"/>
  </pageFields>
  <dataFields count="2">
    <dataField name="Max of High" fld="7" subtotal="max" baseField="12" baseItem="4"/>
    <dataField name="Max of Low" fld="8" subtotal="max" baseField="12" baseItem="4"/>
  </dataFields>
  <chartFormats count="4">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21" format="12" series="1">
      <pivotArea type="data" outline="0" fieldPosition="0">
        <references count="1">
          <reference field="4294967294" count="1" selected="0">
            <x v="0"/>
          </reference>
        </references>
      </pivotArea>
    </chartFormat>
    <chartFormat chart="21"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dateBetween" evalOrder="-1" id="898"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165CB1-2279-447C-B51C-1A03871E440D}"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6">
  <location ref="D6:E14" firstHeaderRow="1" firstDataRow="1" firstDataCol="1" rowPageCount="2" colPageCount="1"/>
  <pivotFields count="13">
    <pivotField axis="axisRow" showAll="0">
      <items count="15">
        <item x="0"/>
        <item sd="0" x="1"/>
        <item x="2"/>
        <item x="3"/>
        <item x="4"/>
        <item x="5"/>
        <item x="6"/>
        <item x="7"/>
        <item x="8"/>
        <item x="9"/>
        <item x="10"/>
        <item x="11"/>
        <item x="12"/>
        <item x="13"/>
        <item t="default"/>
      </items>
    </pivotField>
    <pivotField multipleItemSelectionAllowed="1" showAll="0">
      <items count="33">
        <item h="1" x="31"/>
        <item h="1" x="30"/>
        <item h="1" x="29"/>
        <item h="1" x="0"/>
        <item h="1" x="20"/>
        <item h="1" x="21"/>
        <item h="1" x="1"/>
        <item x="2"/>
        <item h="1" x="3"/>
        <item h="1" x="4"/>
        <item h="1" x="5"/>
        <item h="1" x="22"/>
        <item h="1" x="23"/>
        <item h="1" x="6"/>
        <item h="1" x="7"/>
        <item h="1" x="8"/>
        <item h="1" x="9"/>
        <item h="1" x="10"/>
        <item h="1" x="24"/>
        <item h="1" x="25"/>
        <item h="1" x="26"/>
        <item h="1" x="11"/>
        <item h="1" x="12"/>
        <item h="1" x="13"/>
        <item h="1" x="14"/>
        <item h="1" x="27"/>
        <item h="1" x="28"/>
        <item h="1" x="15"/>
        <item h="1" x="16"/>
        <item h="1" x="17"/>
        <item h="1" x="18"/>
        <item h="1" x="19"/>
        <item t="default"/>
      </items>
    </pivotField>
    <pivotField axis="axisPage" multipleItemSelectionAllowed="1" showAll="0">
      <items count="13">
        <item x="0"/>
        <item x="1"/>
        <item x="2"/>
        <item x="3"/>
        <item x="4"/>
        <item x="5"/>
        <item x="6"/>
        <item x="7"/>
        <item x="8"/>
        <item x="9"/>
        <item x="10"/>
        <item x="11"/>
        <item t="default"/>
      </items>
    </pivotField>
    <pivotField axis="axisPage" showAll="0">
      <items count="7">
        <item x="5"/>
        <item x="0"/>
        <item x="1"/>
        <item x="2"/>
        <item x="3"/>
        <item x="4"/>
        <item t="default"/>
      </items>
    </pivotField>
    <pivotField showAll="0"/>
    <pivotField showAll="0"/>
    <pivotField showAll="0"/>
    <pivotField showAll="0"/>
    <pivotField showAll="0"/>
    <pivotField showAll="0"/>
    <pivotField dataField="1" showAll="0"/>
    <pivotField multipleItemSelectionAllowed="1" showAll="0">
      <items count="7">
        <item sd="0" x="0"/>
        <item sd="0" x="1"/>
        <item sd="0" x="2"/>
        <item sd="0" x="3"/>
        <item sd="0" x="4"/>
        <item sd="0" x="5"/>
        <item t="default"/>
      </items>
    </pivotField>
    <pivotField multipleItemSelectionAllowed="1" showAll="0">
      <items count="9">
        <item sd="0" x="0"/>
        <item sd="0" x="1"/>
        <item sd="0" x="2"/>
        <item sd="0" x="3"/>
        <item sd="0" x="4"/>
        <item sd="0" x="5"/>
        <item sd="0" x="6"/>
        <item sd="0" x="7"/>
        <item t="default"/>
      </items>
    </pivotField>
  </pivotFields>
  <rowFields count="1">
    <field x="0"/>
  </rowFields>
  <rowItems count="8">
    <i>
      <x v="2"/>
    </i>
    <i>
      <x v="3"/>
    </i>
    <i>
      <x v="5"/>
    </i>
    <i>
      <x v="6"/>
    </i>
    <i>
      <x v="8"/>
    </i>
    <i>
      <x v="10"/>
    </i>
    <i>
      <x v="11"/>
    </i>
    <i t="grand">
      <x/>
    </i>
  </rowItems>
  <colItems count="1">
    <i/>
  </colItems>
  <pageFields count="2">
    <pageField fld="3" hier="-1"/>
    <pageField fld="2" hier="-1"/>
  </pageFields>
  <dataFields count="1">
    <dataField name="Average of Volume" fld="10" subtotal="average" baseField="0" baseItem="1"/>
  </dataFields>
  <formats count="1">
    <format dxfId="3">
      <pivotArea collapsedLevelsAreSubtotals="1" fieldPosition="0">
        <references count="1">
          <reference field="0" count="1">
            <x v="3"/>
          </reference>
        </references>
      </pivotArea>
    </format>
  </formats>
  <chartFormats count="5">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898"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14">
  <location ref="A6:B14" firstHeaderRow="1" firstDataRow="1" firstDataCol="1" rowPageCount="2" colPageCount="1"/>
  <pivotFields count="13">
    <pivotField axis="axisRow" showAll="0">
      <items count="15">
        <item x="0"/>
        <item sd="0" x="1"/>
        <item x="2"/>
        <item x="3"/>
        <item x="4"/>
        <item x="5"/>
        <item x="6"/>
        <item x="7"/>
        <item x="8"/>
        <item x="9"/>
        <item x="10"/>
        <item x="11"/>
        <item x="12"/>
        <item x="13"/>
        <item t="default"/>
      </items>
    </pivotField>
    <pivotField multipleItemSelectionAllowed="1" showAll="0">
      <items count="33">
        <item h="1" x="31"/>
        <item h="1" x="30"/>
        <item h="1" x="29"/>
        <item h="1" x="0"/>
        <item h="1" x="20"/>
        <item h="1" x="21"/>
        <item h="1" x="1"/>
        <item x="2"/>
        <item h="1" x="3"/>
        <item h="1" x="4"/>
        <item h="1" x="5"/>
        <item h="1" x="22"/>
        <item h="1" x="23"/>
        <item h="1" x="6"/>
        <item h="1" x="7"/>
        <item h="1" x="8"/>
        <item h="1" x="9"/>
        <item h="1" x="10"/>
        <item h="1" x="24"/>
        <item h="1" x="25"/>
        <item h="1" x="26"/>
        <item h="1" x="11"/>
        <item h="1" x="12"/>
        <item h="1" x="13"/>
        <item h="1" x="14"/>
        <item h="1" x="27"/>
        <item h="1" x="28"/>
        <item h="1" x="15"/>
        <item h="1" x="16"/>
        <item h="1" x="17"/>
        <item h="1" x="18"/>
        <item h="1" x="19"/>
        <item t="default"/>
      </items>
    </pivotField>
    <pivotField axis="axisPage" multipleItemSelectionAllowed="1" showAll="0">
      <items count="13">
        <item x="0"/>
        <item x="1"/>
        <item x="2"/>
        <item x="3"/>
        <item x="4"/>
        <item x="5"/>
        <item x="6"/>
        <item x="7"/>
        <item x="8"/>
        <item x="9"/>
        <item x="10"/>
        <item x="11"/>
        <item t="default"/>
      </items>
    </pivotField>
    <pivotField axis="axisPage" showAll="0">
      <items count="7">
        <item x="5"/>
        <item x="0"/>
        <item x="1"/>
        <item x="2"/>
        <item x="3"/>
        <item x="4"/>
        <item t="default"/>
      </items>
    </pivotField>
    <pivotField showAll="0"/>
    <pivotField showAll="0"/>
    <pivotField dataField="1" showAll="0"/>
    <pivotField showAll="0"/>
    <pivotField showAll="0"/>
    <pivotField showAll="0"/>
    <pivotField showAll="0"/>
    <pivotField multipleItemSelectionAllowed="1" showAll="0">
      <items count="7">
        <item sd="0" x="0"/>
        <item sd="0" x="1"/>
        <item sd="0" x="2"/>
        <item sd="0" x="3"/>
        <item sd="0" x="4"/>
        <item sd="0" x="5"/>
        <item t="default"/>
      </items>
    </pivotField>
    <pivotField multipleItemSelectionAllowed="1" showAll="0">
      <items count="9">
        <item sd="0" x="0"/>
        <item sd="0" x="1"/>
        <item sd="0" x="2"/>
        <item sd="0" x="3"/>
        <item sd="0" x="4"/>
        <item sd="0" x="5"/>
        <item sd="0" x="6"/>
        <item sd="0" x="7"/>
        <item t="default"/>
      </items>
    </pivotField>
  </pivotFields>
  <rowFields count="1">
    <field x="0"/>
  </rowFields>
  <rowItems count="8">
    <i>
      <x v="2"/>
    </i>
    <i>
      <x v="3"/>
    </i>
    <i>
      <x v="5"/>
    </i>
    <i>
      <x v="6"/>
    </i>
    <i>
      <x v="8"/>
    </i>
    <i>
      <x v="10"/>
    </i>
    <i>
      <x v="11"/>
    </i>
    <i t="grand">
      <x/>
    </i>
  </rowItems>
  <colItems count="1">
    <i/>
  </colItems>
  <pageFields count="2">
    <pageField fld="3" hier="-1"/>
    <pageField fld="2" hier="-1"/>
  </pageFields>
  <dataFields count="1">
    <dataField name="Average of Close" fld="6" subtotal="average" baseField="0" baseItem="1"/>
  </dataFields>
  <chartFormats count="4">
    <chartFormat chart="0"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filters count="1">
    <filter fld="0" type="dateBetween" evalOrder="-1" id="898"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4AD42B-8A86-44D8-A724-298918821C11}"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
  <location ref="A26:E34" firstHeaderRow="0" firstDataRow="1" firstDataCol="1" rowPageCount="3" colPageCount="1"/>
  <pivotFields count="13">
    <pivotField axis="axisRow" showAll="0">
      <items count="15">
        <item x="0"/>
        <item sd="0" x="1"/>
        <item x="2"/>
        <item x="3"/>
        <item x="4"/>
        <item x="5"/>
        <item x="6"/>
        <item x="7"/>
        <item x="8"/>
        <item x="9"/>
        <item x="10"/>
        <item x="11"/>
        <item x="12"/>
        <item x="13"/>
        <item t="default"/>
      </items>
    </pivotField>
    <pivotField axis="axisPage" multipleItemSelectionAllowed="1" showAll="0">
      <items count="33">
        <item h="1" x="31"/>
        <item h="1" x="30"/>
        <item h="1" x="29"/>
        <item h="1" x="0"/>
        <item h="1" x="20"/>
        <item h="1" x="21"/>
        <item h="1" x="1"/>
        <item x="2"/>
        <item h="1" x="3"/>
        <item h="1" x="4"/>
        <item h="1" x="5"/>
        <item h="1" x="22"/>
        <item h="1" x="23"/>
        <item h="1" x="6"/>
        <item h="1" x="7"/>
        <item h="1" x="8"/>
        <item h="1" x="9"/>
        <item h="1" x="10"/>
        <item h="1" x="24"/>
        <item h="1" x="25"/>
        <item h="1" x="26"/>
        <item h="1" x="11"/>
        <item h="1" x="12"/>
        <item h="1" x="13"/>
        <item h="1" x="14"/>
        <item h="1" x="27"/>
        <item h="1" x="28"/>
        <item h="1" x="15"/>
        <item h="1" x="16"/>
        <item h="1" x="17"/>
        <item h="1" x="18"/>
        <item h="1" x="19"/>
        <item t="default"/>
      </items>
    </pivotField>
    <pivotField axis="axisPage" multipleItemSelectionAllowed="1" showAll="0">
      <items count="13">
        <item x="0"/>
        <item x="1"/>
        <item x="2"/>
        <item x="3"/>
        <item x="4"/>
        <item x="5"/>
        <item x="6"/>
        <item x="7"/>
        <item x="8"/>
        <item x="9"/>
        <item x="10"/>
        <item x="11"/>
        <item t="default"/>
      </items>
    </pivotField>
    <pivotField axis="axisPage" showAll="0">
      <items count="7">
        <item x="5"/>
        <item x="0"/>
        <item x="1"/>
        <item x="2"/>
        <item x="3"/>
        <item x="4"/>
        <item t="default"/>
      </items>
    </pivotField>
    <pivotField showAll="0"/>
    <pivotField showAll="0"/>
    <pivotField dataField="1" showAll="0"/>
    <pivotField dataField="1" showAll="0"/>
    <pivotField dataField="1" showAll="0"/>
    <pivotField dataField="1" showAll="0"/>
    <pivotField showAll="0"/>
    <pivotField multipleItemSelectionAllowed="1" showAll="0">
      <items count="7">
        <item sd="0" x="0"/>
        <item sd="0" x="1"/>
        <item sd="0" x="2"/>
        <item sd="0" x="3"/>
        <item sd="0" x="4"/>
        <item sd="0" x="5"/>
        <item t="default"/>
      </items>
    </pivotField>
    <pivotField multipleItemSelectionAllowed="1" showAll="0">
      <items count="9">
        <item sd="0" x="0"/>
        <item sd="0" x="1"/>
        <item sd="0" x="2"/>
        <item sd="0" x="3"/>
        <item sd="0" x="4"/>
        <item sd="0" x="5"/>
        <item sd="0" x="6"/>
        <item sd="0" x="7"/>
        <item t="default"/>
      </items>
    </pivotField>
  </pivotFields>
  <rowFields count="1">
    <field x="0"/>
  </rowFields>
  <rowItems count="8">
    <i>
      <x v="2"/>
    </i>
    <i>
      <x v="3"/>
    </i>
    <i>
      <x v="5"/>
    </i>
    <i>
      <x v="6"/>
    </i>
    <i>
      <x v="8"/>
    </i>
    <i>
      <x v="10"/>
    </i>
    <i>
      <x v="11"/>
    </i>
    <i t="grand">
      <x/>
    </i>
  </rowItems>
  <colFields count="1">
    <field x="-2"/>
  </colFields>
  <colItems count="4">
    <i>
      <x/>
    </i>
    <i i="1">
      <x v="1"/>
    </i>
    <i i="2">
      <x v="2"/>
    </i>
    <i i="3">
      <x v="3"/>
    </i>
  </colItems>
  <pageFields count="3">
    <pageField fld="3" hier="-1"/>
    <pageField fld="2" hier="-1"/>
    <pageField fld="1" hier="-1"/>
  </pageFields>
  <dataFields count="4">
    <dataField name="Average of Open" fld="9" subtotal="average" baseField="0" baseItem="1"/>
    <dataField name="Average of High" fld="7" subtotal="average" baseField="0" baseItem="1"/>
    <dataField name="Average of Low" fld="8" subtotal="average" baseField="0" baseItem="1"/>
    <dataField name="Average of Close" fld="6" subtotal="average" baseField="0" baseItem="1"/>
  </dataFields>
  <chartFormats count="6">
    <chartFormat chart="0" format="0" series="1">
      <pivotArea type="data" outline="0" fieldPosition="0">
        <references count="1">
          <reference field="4294967294" count="1" selected="0">
            <x v="3"/>
          </reference>
        </references>
      </pivotArea>
    </chartFormat>
    <chartFormat chart="3" format="2" series="1">
      <pivotArea type="data" outline="0" fieldPosition="0">
        <references count="1">
          <reference field="4294967294" count="1" selected="0">
            <x v="3"/>
          </reference>
        </references>
      </pivotArea>
    </chartFormat>
    <chartFormat chart="10" format="18" series="1">
      <pivotArea type="data" outline="0" fieldPosition="0">
        <references count="1">
          <reference field="4294967294" count="1" selected="0">
            <x v="0"/>
          </reference>
        </references>
      </pivotArea>
    </chartFormat>
    <chartFormat chart="10" format="19" series="1">
      <pivotArea type="data" outline="0" fieldPosition="0">
        <references count="1">
          <reference field="4294967294" count="1" selected="0">
            <x v="1"/>
          </reference>
        </references>
      </pivotArea>
    </chartFormat>
    <chartFormat chart="10" format="20" series="1">
      <pivotArea type="data" outline="0" fieldPosition="0">
        <references count="1">
          <reference field="4294967294" count="1" selected="0">
            <x v="2"/>
          </reference>
        </references>
      </pivotArea>
    </chartFormat>
    <chartFormat chart="10" format="2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898" name="Dat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s" xr10:uid="{32D54514-6E36-4842-8CB7-29EC7E315FA0}" sourceName="Days">
  <pivotTables>
    <pivotTable tabId="2" name="PivotTable2"/>
    <pivotTable tabId="2" name="PivotTable1"/>
    <pivotTable tabId="2" name="PivotTable13"/>
    <pivotTable tabId="2" name="PivotTable3"/>
  </pivotTables>
  <data>
    <tabular pivotCacheId="190518861">
      <items count="32">
        <i x="31"/>
        <i x="30"/>
        <i x="29"/>
        <i x="0"/>
        <i x="20"/>
        <i x="21"/>
        <i x="1"/>
        <i x="2" s="1"/>
        <i x="3"/>
        <i x="4"/>
        <i x="5"/>
        <i x="22"/>
        <i x="23"/>
        <i x="6"/>
        <i x="7"/>
        <i x="8"/>
        <i x="9"/>
        <i x="10"/>
        <i x="24"/>
        <i x="25"/>
        <i x="26"/>
        <i x="11"/>
        <i x="12"/>
        <i x="13"/>
        <i x="14"/>
        <i x="27"/>
        <i x="28"/>
        <i x="15"/>
        <i x="16"/>
        <i x="17"/>
        <i x="18"/>
        <i x="19"/>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xr10:uid="{508D092F-1036-42AA-B200-5DBA983B8B17}" cache="Slicer_Days" caption="Days" style="Slicer Style 1"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A537B98-68CF-4C66-8424-793EAB220A7D}" name="Table2" displayName="Table2" ref="A1:E13" totalsRowShown="0">
  <autoFilter ref="A1:E13" xr:uid="{1A537B98-68CF-4C66-8424-793EAB220A7D}"/>
  <tableColumns count="5">
    <tableColumn id="1" xr3:uid="{17475BA0-A000-4CBC-B39B-A086FDD5C5C9}" name="Date" dataDxfId="2"/>
    <tableColumn id="2" xr3:uid="{C8AE784E-AAA3-49FE-90CE-5A89F2533ECF}" name="Close"/>
    <tableColumn id="3" xr3:uid="{CFD9A028-AD7A-4787-A973-E4B20587F239}" name="Forecast(Close)"/>
    <tableColumn id="4" xr3:uid="{19E148DE-EB05-4E61-8BD3-D4884D8B48AB}" name="Lower Confidence Bound(Close)" dataDxfId="1"/>
    <tableColumn id="5" xr3:uid="{2DF92EB9-5E32-4C42-9A6B-B39F21692990}" name="Upper Confidence Bound(Clos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981105F-541D-4953-BC87-D1F1227A264F}" sourceName="Date">
  <pivotTables>
    <pivotTable tabId="2" name="PivotTable1"/>
    <pivotTable tabId="2" name="PivotTable13"/>
    <pivotTable tabId="2" name="PivotTable2"/>
    <pivotTable tabId="2" name="PivotTable3"/>
  </pivotTables>
  <state minimalRefreshVersion="6" lastRefreshVersion="6" pivotCacheId="190518861" filterType="dateBetween">
    <selection startDate="2024-01-01T00:00:00" endDate="2024-12-31T00:00:00"/>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F6830DCC-99E6-4818-A75D-DB12AA302389}" cache="NativeTimeline_Date" caption="Quater" showSelectionLabel="0" showTimeLevel="0" level="1" selectionLevel="0" scrollPosition="2022-04-09T00:00:00" style="Timeline Style 1"/>
  <timeline name="Date 2" xr10:uid="{6622FFF7-5C29-4436-A642-C73D363DA3D0}" cache="NativeTimeline_Date" caption="Months" showSelectionLabel="0" showTimeLevel="0" level="2" selectionLevel="0" scrollPosition="2024-02-02T00:00:00" style="Timeline Style 1"/>
  <timeline name="Date 3" xr10:uid="{2E0ECAF2-601C-4847-8224-E864A96BFD97}" cache="NativeTimeline_Date" caption="Years" showSelectionLabel="0" showTimeLevel="0" level="0" selectionLevel="0" scrollPosition="2020-01-01T00:00:00" style="Timeline Style 1"/>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56"/>
  <sheetViews>
    <sheetView zoomScale="85" zoomScaleNormal="85" workbookViewId="0">
      <selection activeCell="E7" sqref="E7"/>
    </sheetView>
  </sheetViews>
  <sheetFormatPr defaultRowHeight="14.4"/>
  <cols>
    <col min="1" max="1" width="13.44140625" bestFit="1" customWidth="1"/>
    <col min="2" max="2" width="16.109375" bestFit="1" customWidth="1"/>
    <col min="3" max="3" width="15.21875" bestFit="1" customWidth="1"/>
    <col min="4" max="4" width="14.88671875" bestFit="1" customWidth="1"/>
    <col min="5" max="5" width="15.77734375" bestFit="1" customWidth="1"/>
    <col min="6" max="6" width="4.33203125" bestFit="1" customWidth="1"/>
    <col min="7" max="7" width="13.44140625" bestFit="1" customWidth="1"/>
    <col min="8" max="9" width="12.44140625" bestFit="1" customWidth="1"/>
    <col min="10" max="10" width="11.6640625" bestFit="1" customWidth="1"/>
    <col min="11" max="11" width="16" bestFit="1" customWidth="1"/>
    <col min="12" max="12" width="4.44140625" bestFit="1" customWidth="1"/>
    <col min="13" max="13" width="4.33203125" bestFit="1" customWidth="1"/>
    <col min="14" max="14" width="4" bestFit="1" customWidth="1"/>
    <col min="15" max="15" width="4.5546875" bestFit="1" customWidth="1"/>
    <col min="16" max="16" width="4.33203125" bestFit="1" customWidth="1"/>
    <col min="17" max="17" width="11.33203125" bestFit="1" customWidth="1"/>
    <col min="18" max="1251" width="9" bestFit="1" customWidth="1"/>
    <col min="1252" max="1254" width="10" bestFit="1" customWidth="1"/>
    <col min="1255" max="1255" width="11.33203125" bestFit="1" customWidth="1"/>
  </cols>
  <sheetData>
    <row r="3" spans="1:9">
      <c r="A3" s="2" t="s">
        <v>9</v>
      </c>
      <c r="B3" t="s">
        <v>25</v>
      </c>
      <c r="D3" s="2" t="s">
        <v>9</v>
      </c>
      <c r="E3" t="s">
        <v>25</v>
      </c>
    </row>
    <row r="4" spans="1:9">
      <c r="A4" s="2" t="s">
        <v>8</v>
      </c>
      <c r="B4" t="s">
        <v>25</v>
      </c>
      <c r="D4" s="2" t="s">
        <v>8</v>
      </c>
      <c r="E4" t="s">
        <v>25</v>
      </c>
      <c r="G4" s="2" t="s">
        <v>7</v>
      </c>
      <c r="H4" s="3">
        <v>7</v>
      </c>
    </row>
    <row r="6" spans="1:9">
      <c r="A6" s="2" t="s">
        <v>11</v>
      </c>
      <c r="B6" t="s">
        <v>26</v>
      </c>
      <c r="D6" s="2" t="s">
        <v>11</v>
      </c>
      <c r="E6" t="s">
        <v>27</v>
      </c>
      <c r="G6" s="2" t="s">
        <v>11</v>
      </c>
      <c r="H6" t="s">
        <v>34</v>
      </c>
      <c r="I6" t="s">
        <v>35</v>
      </c>
    </row>
    <row r="7" spans="1:9">
      <c r="A7" s="3" t="s">
        <v>14</v>
      </c>
      <c r="B7">
        <v>144.1000061</v>
      </c>
      <c r="D7" s="3" t="s">
        <v>14</v>
      </c>
      <c r="E7">
        <v>29128200</v>
      </c>
      <c r="G7" s="3" t="s">
        <v>14</v>
      </c>
      <c r="H7">
        <v>145.36000060000001</v>
      </c>
      <c r="I7">
        <v>143.1900024</v>
      </c>
    </row>
    <row r="8" spans="1:9">
      <c r="A8" s="3" t="s">
        <v>15</v>
      </c>
      <c r="B8">
        <v>131.3999939</v>
      </c>
      <c r="D8" s="3" t="s">
        <v>15</v>
      </c>
      <c r="E8" s="10">
        <v>35318600</v>
      </c>
      <c r="G8" s="3" t="s">
        <v>15</v>
      </c>
      <c r="H8">
        <v>133.58000179999999</v>
      </c>
      <c r="I8">
        <v>130.8500061</v>
      </c>
    </row>
    <row r="9" spans="1:9">
      <c r="A9" s="3" t="s">
        <v>17</v>
      </c>
      <c r="B9">
        <v>168.1000061</v>
      </c>
      <c r="D9" s="3" t="s">
        <v>17</v>
      </c>
      <c r="E9">
        <v>21871300</v>
      </c>
      <c r="G9" s="3" t="s">
        <v>17</v>
      </c>
      <c r="H9">
        <v>168.13999939999999</v>
      </c>
      <c r="I9">
        <v>166.02999879999999</v>
      </c>
    </row>
    <row r="10" spans="1:9">
      <c r="A10" s="3" t="s">
        <v>18</v>
      </c>
      <c r="B10">
        <v>176.72999569999999</v>
      </c>
      <c r="D10" s="3" t="s">
        <v>18</v>
      </c>
      <c r="E10">
        <v>23251000</v>
      </c>
      <c r="G10" s="3" t="s">
        <v>18</v>
      </c>
      <c r="H10">
        <v>177.1499939</v>
      </c>
      <c r="I10">
        <v>175.75</v>
      </c>
    </row>
    <row r="11" spans="1:9">
      <c r="A11" s="3" t="s">
        <v>20</v>
      </c>
      <c r="B11">
        <v>158.28999329999999</v>
      </c>
      <c r="D11" s="3" t="s">
        <v>20</v>
      </c>
      <c r="E11">
        <v>49004600</v>
      </c>
      <c r="G11" s="3" t="s">
        <v>20</v>
      </c>
      <c r="H11">
        <v>160.57000729999999</v>
      </c>
      <c r="I11">
        <v>156.4100037</v>
      </c>
    </row>
    <row r="12" spans="1:9">
      <c r="A12" s="3" t="s">
        <v>22</v>
      </c>
      <c r="B12">
        <v>167.0599976</v>
      </c>
      <c r="D12" s="3" t="s">
        <v>22</v>
      </c>
      <c r="E12">
        <v>19047400</v>
      </c>
      <c r="G12" s="3" t="s">
        <v>22</v>
      </c>
      <c r="H12">
        <v>168.22999569999999</v>
      </c>
      <c r="I12">
        <v>165.47999569999999</v>
      </c>
    </row>
    <row r="13" spans="1:9">
      <c r="A13" s="3" t="s">
        <v>23</v>
      </c>
      <c r="B13">
        <v>176.5099945</v>
      </c>
      <c r="D13" s="3" t="s">
        <v>23</v>
      </c>
      <c r="E13">
        <v>33695500</v>
      </c>
      <c r="G13" s="3" t="s">
        <v>23</v>
      </c>
      <c r="H13">
        <v>176.9400024</v>
      </c>
      <c r="I13">
        <v>173.5</v>
      </c>
    </row>
    <row r="14" spans="1:9">
      <c r="A14" s="3" t="s">
        <v>12</v>
      </c>
      <c r="B14">
        <v>160.31285531428571</v>
      </c>
      <c r="D14" s="3" t="s">
        <v>12</v>
      </c>
      <c r="E14">
        <v>30188085.714285713</v>
      </c>
      <c r="G14" s="3" t="s">
        <v>12</v>
      </c>
      <c r="H14">
        <v>177.1499939</v>
      </c>
      <c r="I14">
        <v>175.75</v>
      </c>
    </row>
    <row r="22" spans="1:11">
      <c r="A22" s="2" t="s">
        <v>9</v>
      </c>
      <c r="B22" t="s">
        <v>25</v>
      </c>
    </row>
    <row r="23" spans="1:11">
      <c r="A23" s="2" t="s">
        <v>8</v>
      </c>
      <c r="B23" t="s">
        <v>25</v>
      </c>
    </row>
    <row r="24" spans="1:11">
      <c r="A24" s="2" t="s">
        <v>7</v>
      </c>
      <c r="B24" s="3">
        <v>7</v>
      </c>
    </row>
    <row r="25" spans="1:11">
      <c r="J25" t="s">
        <v>30</v>
      </c>
      <c r="K25" t="s">
        <v>26</v>
      </c>
    </row>
    <row r="26" spans="1:11">
      <c r="A26" s="2" t="s">
        <v>11</v>
      </c>
      <c r="B26" t="s">
        <v>28</v>
      </c>
      <c r="C26" t="s">
        <v>29</v>
      </c>
      <c r="D26" t="s">
        <v>30</v>
      </c>
      <c r="E26" t="s">
        <v>26</v>
      </c>
      <c r="J26">
        <v>142.42618960000001</v>
      </c>
      <c r="K26">
        <v>143.82285634761905</v>
      </c>
    </row>
    <row r="27" spans="1:11">
      <c r="A27" s="3" t="s">
        <v>14</v>
      </c>
      <c r="B27">
        <v>144.6499939</v>
      </c>
      <c r="C27">
        <v>145.36000060000001</v>
      </c>
      <c r="D27">
        <v>143.1900024</v>
      </c>
      <c r="E27">
        <v>144.1000061</v>
      </c>
      <c r="J27">
        <v>141.51899872000001</v>
      </c>
      <c r="K27">
        <v>142.9160019</v>
      </c>
    </row>
    <row r="28" spans="1:11">
      <c r="A28" s="3" t="s">
        <v>15</v>
      </c>
      <c r="B28">
        <v>133.11999510000001</v>
      </c>
      <c r="C28">
        <v>133.58000179999999</v>
      </c>
      <c r="D28">
        <v>130.8500061</v>
      </c>
      <c r="E28">
        <v>131.3999939</v>
      </c>
      <c r="J28">
        <v>140.37850036999998</v>
      </c>
      <c r="K28">
        <v>141.82400056</v>
      </c>
    </row>
    <row r="29" spans="1:11">
      <c r="A29" s="3" t="s">
        <v>17</v>
      </c>
      <c r="B29">
        <v>167.46000670000001</v>
      </c>
      <c r="C29">
        <v>168.13999939999999</v>
      </c>
      <c r="D29">
        <v>166.02999879999999</v>
      </c>
      <c r="E29">
        <v>168.1000061</v>
      </c>
      <c r="J29">
        <v>154.75227147727276</v>
      </c>
      <c r="K29">
        <v>156.64818087727269</v>
      </c>
    </row>
    <row r="30" spans="1:11">
      <c r="A30" s="3" t="s">
        <v>18</v>
      </c>
      <c r="B30">
        <v>175.8999939</v>
      </c>
      <c r="C30">
        <v>177.1499939</v>
      </c>
      <c r="D30">
        <v>175.75</v>
      </c>
      <c r="E30">
        <v>176.72999569999999</v>
      </c>
      <c r="J30">
        <v>169.74681784545456</v>
      </c>
      <c r="K30">
        <v>171.55318174090911</v>
      </c>
    </row>
    <row r="31" spans="1:11">
      <c r="A31" s="3" t="s">
        <v>20</v>
      </c>
      <c r="B31">
        <v>159.33000179999999</v>
      </c>
      <c r="C31">
        <v>160.57000729999999</v>
      </c>
      <c r="D31">
        <v>156.4100037</v>
      </c>
      <c r="E31">
        <v>158.28999329999999</v>
      </c>
      <c r="J31">
        <v>175.43368451052635</v>
      </c>
      <c r="K31">
        <v>177.27526294210529</v>
      </c>
    </row>
    <row r="32" spans="1:11">
      <c r="A32" s="3" t="s">
        <v>22</v>
      </c>
      <c r="B32">
        <v>168.0599976</v>
      </c>
      <c r="C32">
        <v>168.22999569999999</v>
      </c>
      <c r="D32">
        <v>165.47999569999999</v>
      </c>
      <c r="E32">
        <v>167.0599976</v>
      </c>
      <c r="J32">
        <v>179.67181882272729</v>
      </c>
      <c r="K32">
        <v>181.0745461272727</v>
      </c>
    </row>
    <row r="33" spans="1:11">
      <c r="A33" s="3" t="s">
        <v>23</v>
      </c>
      <c r="B33">
        <v>173.8000031</v>
      </c>
      <c r="C33">
        <v>176.9400024</v>
      </c>
      <c r="D33">
        <v>173.5</v>
      </c>
      <c r="E33">
        <v>176.5099945</v>
      </c>
      <c r="J33">
        <v>162.24954639999999</v>
      </c>
      <c r="K33">
        <v>163.94590829999999</v>
      </c>
    </row>
    <row r="34" spans="1:11">
      <c r="A34" s="3" t="s">
        <v>12</v>
      </c>
      <c r="B34">
        <v>160.33142744285715</v>
      </c>
      <c r="C34">
        <v>161.42428587142857</v>
      </c>
      <c r="D34">
        <v>158.7442866714286</v>
      </c>
      <c r="E34">
        <v>160.31285531428571</v>
      </c>
      <c r="J34">
        <v>156.85750122000002</v>
      </c>
      <c r="K34">
        <v>158.06300125000001</v>
      </c>
    </row>
    <row r="35" spans="1:11">
      <c r="J35">
        <v>163.63651971739128</v>
      </c>
      <c r="K35">
        <v>165.17087123913043</v>
      </c>
    </row>
    <row r="36" spans="1:11">
      <c r="J36">
        <v>171.82449950500001</v>
      </c>
      <c r="K36">
        <v>173.68499984499999</v>
      </c>
    </row>
    <row r="37" spans="1:11">
      <c r="J37">
        <v>183.32142930000001</v>
      </c>
      <c r="K37">
        <v>185.80761936666664</v>
      </c>
    </row>
    <row r="38" spans="1:11">
      <c r="J38">
        <v>161.94611092222218</v>
      </c>
      <c r="K38">
        <v>163.61127012103174</v>
      </c>
    </row>
    <row r="43" spans="1:11">
      <c r="B43" t="s">
        <v>11</v>
      </c>
      <c r="C43" t="s">
        <v>28</v>
      </c>
      <c r="D43" t="s">
        <v>29</v>
      </c>
      <c r="E43" t="s">
        <v>30</v>
      </c>
      <c r="F43" t="s">
        <v>26</v>
      </c>
    </row>
    <row r="44" spans="1:11">
      <c r="B44" t="s">
        <v>13</v>
      </c>
      <c r="C44">
        <v>91.997999954499988</v>
      </c>
      <c r="D44">
        <v>93.4295013415</v>
      </c>
      <c r="E44">
        <v>90.979499435000008</v>
      </c>
      <c r="F44">
        <v>92.509999848000007</v>
      </c>
    </row>
    <row r="45" spans="1:11">
      <c r="B45" t="s">
        <v>14</v>
      </c>
      <c r="C45">
        <v>96.696842396842101</v>
      </c>
      <c r="D45">
        <v>98.199999761052638</v>
      </c>
      <c r="E45">
        <v>95.353684272631568</v>
      </c>
      <c r="F45">
        <v>96.878947612105264</v>
      </c>
    </row>
    <row r="46" spans="1:11">
      <c r="B46" t="s">
        <v>15</v>
      </c>
      <c r="C46">
        <v>96.915652728260881</v>
      </c>
      <c r="D46">
        <v>98.616086876521734</v>
      </c>
      <c r="E46">
        <v>96.077390916521722</v>
      </c>
      <c r="F46">
        <v>97.465652132173915</v>
      </c>
    </row>
    <row r="47" spans="1:11">
      <c r="B47" t="s">
        <v>16</v>
      </c>
      <c r="C47">
        <v>105.08947433157894</v>
      </c>
      <c r="D47">
        <v>106.56526345263157</v>
      </c>
      <c r="E47">
        <v>104.04420991578949</v>
      </c>
      <c r="F47">
        <v>105.52105311052632</v>
      </c>
    </row>
    <row r="48" spans="1:11">
      <c r="B48" t="s">
        <v>17</v>
      </c>
      <c r="C48">
        <v>114.94272717272729</v>
      </c>
      <c r="D48">
        <v>116.72272700909089</v>
      </c>
      <c r="E48">
        <v>113.86318206363639</v>
      </c>
      <c r="F48">
        <v>115.41818201818182</v>
      </c>
    </row>
    <row r="49" spans="2:6">
      <c r="B49" t="s">
        <v>18</v>
      </c>
      <c r="C49">
        <v>122.46904790952382</v>
      </c>
      <c r="D49">
        <v>124.09523810952379</v>
      </c>
      <c r="E49">
        <v>121.28428577142856</v>
      </c>
      <c r="F49">
        <v>122.68095216190474</v>
      </c>
    </row>
    <row r="50" spans="2:6">
      <c r="B50" t="s">
        <v>19</v>
      </c>
      <c r="C50">
        <v>122.51950074999999</v>
      </c>
      <c r="D50">
        <v>123.96700058000002</v>
      </c>
      <c r="E50">
        <v>121.24850082500002</v>
      </c>
      <c r="F50">
        <v>122.40349959500001</v>
      </c>
    </row>
    <row r="51" spans="2:6">
      <c r="B51" t="s">
        <v>20</v>
      </c>
      <c r="C51">
        <v>130.29652106521738</v>
      </c>
      <c r="D51">
        <v>131.80086816521742</v>
      </c>
      <c r="E51">
        <v>129.14478269565217</v>
      </c>
      <c r="F51">
        <v>130.39913044782611</v>
      </c>
    </row>
    <row r="52" spans="2:6">
      <c r="B52" t="s">
        <v>21</v>
      </c>
      <c r="C52">
        <v>134.46100005</v>
      </c>
      <c r="D52">
        <v>135.73799973000001</v>
      </c>
      <c r="E52">
        <v>133.28000029499998</v>
      </c>
      <c r="F52">
        <v>134.56900101000002</v>
      </c>
    </row>
    <row r="53" spans="2:6">
      <c r="B53" t="s">
        <v>22</v>
      </c>
      <c r="C53">
        <v>134.41909130909093</v>
      </c>
      <c r="D53">
        <v>135.86772814999998</v>
      </c>
      <c r="E53">
        <v>132.97454451818183</v>
      </c>
      <c r="F53">
        <v>134.48500096363637</v>
      </c>
    </row>
    <row r="54" spans="2:6">
      <c r="B54" t="s">
        <v>23</v>
      </c>
      <c r="C54">
        <v>132.64523932857142</v>
      </c>
      <c r="D54">
        <v>133.9109518952381</v>
      </c>
      <c r="E54">
        <v>131.6866683904762</v>
      </c>
      <c r="F54">
        <v>132.97999971428573</v>
      </c>
    </row>
    <row r="55" spans="2:6">
      <c r="B55" t="s">
        <v>24</v>
      </c>
      <c r="C55">
        <v>135.082500455</v>
      </c>
      <c r="D55">
        <v>136.429998775</v>
      </c>
      <c r="E55">
        <v>133.95349998</v>
      </c>
      <c r="F55">
        <v>135.21650086</v>
      </c>
    </row>
    <row r="56" spans="2:6">
      <c r="B56" t="s">
        <v>12</v>
      </c>
      <c r="C56">
        <v>118.33760031152002</v>
      </c>
      <c r="D56">
        <v>119.82615991659999</v>
      </c>
      <c r="E56">
        <v>117.20288006224003</v>
      </c>
      <c r="F56">
        <v>118.58888021732005</v>
      </c>
    </row>
  </sheetData>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S3:AV41"/>
  <sheetViews>
    <sheetView showGridLines="0" tabSelected="1" zoomScale="25" zoomScaleNormal="25" workbookViewId="0">
      <selection activeCell="AW40" sqref="AW40"/>
    </sheetView>
  </sheetViews>
  <sheetFormatPr defaultColWidth="8.6640625" defaultRowHeight="14.4"/>
  <cols>
    <col min="1" max="18" width="8.6640625" style="7"/>
    <col min="19" max="19" width="148.109375" style="7" bestFit="1" customWidth="1"/>
    <col min="20" max="27" width="8.6640625" style="7"/>
    <col min="28" max="29" width="8.6640625" style="7" customWidth="1"/>
    <col min="30" max="51" width="8.6640625" style="7"/>
    <col min="52" max="52" width="144" style="7" customWidth="1"/>
    <col min="53" max="16384" width="8.6640625" style="7"/>
  </cols>
  <sheetData>
    <row r="3" spans="19:19" ht="91.8">
      <c r="S3" s="9" t="s">
        <v>36</v>
      </c>
    </row>
    <row r="41" spans="48:48" ht="91.8">
      <c r="AV41" s="8"/>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AB024-2287-4E2D-A27A-8C5257DE6E62}">
  <dimension ref="A1:E13"/>
  <sheetViews>
    <sheetView workbookViewId="0">
      <selection activeCell="D20" sqref="D20"/>
    </sheetView>
  </sheetViews>
  <sheetFormatPr defaultRowHeight="14.4"/>
  <cols>
    <col min="1" max="1" width="9.6640625" bestFit="1" customWidth="1"/>
    <col min="2" max="2" width="9.33203125" bestFit="1" customWidth="1"/>
    <col min="3" max="3" width="16.88671875" customWidth="1"/>
    <col min="4" max="4" width="31.5546875" customWidth="1"/>
    <col min="5" max="5" width="31.6640625" customWidth="1"/>
  </cols>
  <sheetData>
    <row r="1" spans="1:5">
      <c r="A1" t="s">
        <v>6</v>
      </c>
      <c r="B1" t="s">
        <v>1</v>
      </c>
      <c r="C1" t="s">
        <v>31</v>
      </c>
      <c r="D1" t="s">
        <v>32</v>
      </c>
      <c r="E1" t="s">
        <v>33</v>
      </c>
    </row>
    <row r="2" spans="1:5">
      <c r="A2" s="1">
        <v>45323</v>
      </c>
      <c r="B2">
        <v>140.1000061</v>
      </c>
    </row>
    <row r="3" spans="1:5">
      <c r="A3" s="1">
        <v>45330</v>
      </c>
      <c r="B3">
        <v>145.53999329999999</v>
      </c>
    </row>
    <row r="4" spans="1:5">
      <c r="A4" s="1">
        <v>45337</v>
      </c>
      <c r="B4">
        <v>145.9400024</v>
      </c>
    </row>
    <row r="5" spans="1:5">
      <c r="A5" s="1">
        <v>45344</v>
      </c>
      <c r="B5">
        <v>142.5500031</v>
      </c>
    </row>
    <row r="6" spans="1:5">
      <c r="A6" s="1">
        <v>45351</v>
      </c>
      <c r="B6">
        <v>136.38000489999999</v>
      </c>
    </row>
    <row r="7" spans="1:5">
      <c r="A7" s="1">
        <v>45358</v>
      </c>
      <c r="B7">
        <v>131.3999939</v>
      </c>
    </row>
    <row r="8" spans="1:5">
      <c r="A8" s="1">
        <v>45365</v>
      </c>
      <c r="B8">
        <v>139.78999329999999</v>
      </c>
    </row>
    <row r="9" spans="1:5">
      <c r="A9" s="1">
        <v>45372</v>
      </c>
      <c r="B9">
        <v>148.7400055</v>
      </c>
    </row>
    <row r="10" spans="1:5">
      <c r="A10" s="1">
        <v>45379</v>
      </c>
      <c r="B10">
        <v>150.86999510000001</v>
      </c>
      <c r="C10">
        <v>150.86999510000001</v>
      </c>
      <c r="D10" s="6">
        <v>150.86999510000001</v>
      </c>
      <c r="E10" s="6">
        <v>150.86999510000001</v>
      </c>
    </row>
    <row r="11" spans="1:5">
      <c r="A11" s="1">
        <v>45386</v>
      </c>
      <c r="C11">
        <f>_xlfn.FORECAST.ETS(A11,$B$2:$B$10,$A$2:$A$10,1,1)</f>
        <v>151.35716118666667</v>
      </c>
      <c r="D11" s="6">
        <f>C11-_xlfn.FORECAST.ETS.CONFINT(A11,$B$2:$B$10,$A$2:$A$10,0.95,1,1)</f>
        <v>140.62579392242961</v>
      </c>
      <c r="E11" s="6">
        <f>C11+_xlfn.FORECAST.ETS.CONFINT(A11,$B$2:$B$10,$A$2:$A$10,0.95,1,1)</f>
        <v>162.08852845090374</v>
      </c>
    </row>
    <row r="12" spans="1:5">
      <c r="A12" s="1">
        <v>45393</v>
      </c>
      <c r="C12">
        <f>_xlfn.FORECAST.ETS(A12,$B$2:$B$10,$A$2:$A$10,1,1)</f>
        <v>151.84432727333336</v>
      </c>
      <c r="D12" s="6">
        <f>C12-_xlfn.FORECAST.ETS.CONFINT(A12,$B$2:$B$10,$A$2:$A$10,0.95,1,1)</f>
        <v>136.67546847000207</v>
      </c>
      <c r="E12" s="6">
        <f>C12+_xlfn.FORECAST.ETS.CONFINT(A12,$B$2:$B$10,$A$2:$A$10,0.95,1,1)</f>
        <v>167.01318607666465</v>
      </c>
    </row>
    <row r="13" spans="1:5">
      <c r="A13" s="1">
        <v>45400</v>
      </c>
      <c r="C13">
        <f>_xlfn.FORECAST.ETS(A13,$B$2:$B$10,$A$2:$A$10,1,1)</f>
        <v>152.33149336000002</v>
      </c>
      <c r="D13" s="6">
        <f>C13-_xlfn.FORECAST.ETS.CONFINT(A13,$B$2:$B$10,$A$2:$A$10,0.95,1,1)</f>
        <v>133.75041371549764</v>
      </c>
      <c r="E13" s="6">
        <f>C13+_xlfn.FORECAST.ETS.CONFINT(A13,$B$2:$B$10,$A$2:$A$10,0.95,1,1)</f>
        <v>170.91257300450241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R1259"/>
  <sheetViews>
    <sheetView zoomScale="85" zoomScaleNormal="85" workbookViewId="0">
      <selection activeCell="L24" sqref="L24"/>
    </sheetView>
  </sheetViews>
  <sheetFormatPr defaultRowHeight="14.4"/>
  <cols>
    <col min="1" max="1" width="12.33203125" style="1" customWidth="1"/>
    <col min="2" max="2" width="11.5546875" style="1" hidden="1" customWidth="1"/>
    <col min="3" max="3" width="6.88671875" style="1" hidden="1" customWidth="1"/>
    <col min="4" max="4" width="7.109375" style="1" hidden="1" customWidth="1"/>
    <col min="5" max="5" width="11" style="1" hidden="1" customWidth="1"/>
    <col min="6" max="6" width="12" customWidth="1"/>
    <col min="7" max="7" width="9.109375" customWidth="1"/>
    <col min="8" max="9" width="12" bestFit="1" customWidth="1"/>
    <col min="10" max="10" width="10.5546875" bestFit="1" customWidth="1"/>
    <col min="18" max="18" width="45" style="1" customWidth="1"/>
    <col min="20" max="20" width="10.44140625" bestFit="1" customWidth="1"/>
  </cols>
  <sheetData>
    <row r="1" spans="1:11">
      <c r="A1" s="4" t="s">
        <v>6</v>
      </c>
      <c r="B1" s="5" t="s">
        <v>7</v>
      </c>
      <c r="C1" s="5" t="s">
        <v>8</v>
      </c>
      <c r="D1" s="5" t="s">
        <v>9</v>
      </c>
      <c r="E1" s="5" t="s">
        <v>10</v>
      </c>
      <c r="F1" s="5" t="s">
        <v>4</v>
      </c>
      <c r="G1" s="5" t="s">
        <v>2</v>
      </c>
      <c r="H1" s="5" t="s">
        <v>3</v>
      </c>
      <c r="I1" s="5" t="s">
        <v>1</v>
      </c>
      <c r="J1" s="5" t="s">
        <v>5</v>
      </c>
      <c r="K1" s="5" t="s">
        <v>0</v>
      </c>
    </row>
    <row r="2" spans="1:11">
      <c r="A2" s="4">
        <v>43833</v>
      </c>
      <c r="B2" s="5">
        <f t="shared" ref="B2:B65" si="0">DAY(A2)</f>
        <v>3</v>
      </c>
      <c r="C2" s="5">
        <f t="shared" ref="C2:C65" si="1">MONTH(A2)</f>
        <v>1</v>
      </c>
      <c r="D2" s="5">
        <f t="shared" ref="D2:D65" si="2">YEAR(A2)</f>
        <v>2020</v>
      </c>
      <c r="E2" s="5" t="str">
        <f t="shared" ref="E2:E65" si="3">"Q"&amp;ROUNDUP(MONTH(A2)/3,0)</f>
        <v>Q1</v>
      </c>
      <c r="F2" s="5">
        <v>67.420501709999996</v>
      </c>
      <c r="G2" s="5">
        <v>68.433998110000005</v>
      </c>
      <c r="H2" s="5">
        <v>67.324501040000001</v>
      </c>
      <c r="I2" s="5">
        <v>68.433998110000005</v>
      </c>
      <c r="J2" s="5">
        <v>27278000</v>
      </c>
      <c r="K2" s="5">
        <v>68.186820979999993</v>
      </c>
    </row>
    <row r="3" spans="1:11">
      <c r="A3" s="4">
        <v>43836</v>
      </c>
      <c r="B3" s="5">
        <f t="shared" si="0"/>
        <v>6</v>
      </c>
      <c r="C3" s="5">
        <f t="shared" si="1"/>
        <v>1</v>
      </c>
      <c r="D3" s="5">
        <f t="shared" si="2"/>
        <v>2020</v>
      </c>
      <c r="E3" s="5" t="str">
        <f t="shared" si="3"/>
        <v>Q1</v>
      </c>
      <c r="F3" s="5">
        <v>67.400001529999997</v>
      </c>
      <c r="G3" s="5">
        <v>68.6875</v>
      </c>
      <c r="H3" s="5">
        <v>67.365997309999997</v>
      </c>
      <c r="I3" s="5">
        <v>68.075996399999994</v>
      </c>
      <c r="J3" s="5">
        <v>23408000</v>
      </c>
      <c r="K3" s="5">
        <v>67.830101010000007</v>
      </c>
    </row>
    <row r="4" spans="1:11">
      <c r="A4" s="4">
        <v>43837</v>
      </c>
      <c r="B4" s="5">
        <f t="shared" si="0"/>
        <v>7</v>
      </c>
      <c r="C4" s="5">
        <f t="shared" si="1"/>
        <v>1</v>
      </c>
      <c r="D4" s="5">
        <f t="shared" si="2"/>
        <v>2020</v>
      </c>
      <c r="E4" s="5" t="str">
        <f t="shared" si="3"/>
        <v>Q1</v>
      </c>
      <c r="F4" s="5">
        <v>67.581497189999993</v>
      </c>
      <c r="G4" s="5">
        <v>69.916000370000006</v>
      </c>
      <c r="H4" s="5">
        <v>67.550003050000001</v>
      </c>
      <c r="I4" s="5">
        <v>69.890502929999997</v>
      </c>
      <c r="J4" s="5">
        <v>46768000</v>
      </c>
      <c r="K4" s="5">
        <v>69.638053889999995</v>
      </c>
    </row>
    <row r="5" spans="1:11">
      <c r="A5" s="4">
        <v>43838</v>
      </c>
      <c r="B5" s="5">
        <f t="shared" si="0"/>
        <v>8</v>
      </c>
      <c r="C5" s="5">
        <f t="shared" si="1"/>
        <v>1</v>
      </c>
      <c r="D5" s="5">
        <f t="shared" si="2"/>
        <v>2020</v>
      </c>
      <c r="E5" s="5" t="str">
        <f t="shared" si="3"/>
        <v>Q1</v>
      </c>
      <c r="F5" s="5">
        <v>70.02300262</v>
      </c>
      <c r="G5" s="5">
        <v>70.175003050000001</v>
      </c>
      <c r="H5" s="5">
        <v>69.578002929999997</v>
      </c>
      <c r="I5" s="5">
        <v>69.755500789999999</v>
      </c>
      <c r="J5" s="5">
        <v>34330000</v>
      </c>
      <c r="K5" s="5">
        <v>69.503547670000003</v>
      </c>
    </row>
    <row r="6" spans="1:11">
      <c r="A6" s="4">
        <v>43839</v>
      </c>
      <c r="B6" s="5">
        <f t="shared" si="0"/>
        <v>9</v>
      </c>
      <c r="C6" s="5">
        <f t="shared" si="1"/>
        <v>1</v>
      </c>
      <c r="D6" s="5">
        <f t="shared" si="2"/>
        <v>2020</v>
      </c>
      <c r="E6" s="5" t="str">
        <f t="shared" si="3"/>
        <v>Q1</v>
      </c>
      <c r="F6" s="5">
        <v>69.740997309999997</v>
      </c>
      <c r="G6" s="5">
        <v>70.59249878</v>
      </c>
      <c r="H6" s="5">
        <v>69.631500239999994</v>
      </c>
      <c r="I6" s="5">
        <v>70.251998900000004</v>
      </c>
      <c r="J6" s="5">
        <v>35314000</v>
      </c>
      <c r="K6" s="5">
        <v>69.998252870000002</v>
      </c>
    </row>
    <row r="7" spans="1:11">
      <c r="A7" s="4">
        <v>43840</v>
      </c>
      <c r="B7" s="5">
        <f t="shared" si="0"/>
        <v>10</v>
      </c>
      <c r="C7" s="5">
        <f t="shared" si="1"/>
        <v>1</v>
      </c>
      <c r="D7" s="5">
        <f t="shared" si="2"/>
        <v>2020</v>
      </c>
      <c r="E7" s="5" t="str">
        <f t="shared" si="3"/>
        <v>Q1</v>
      </c>
      <c r="F7" s="5">
        <v>71.096496579999993</v>
      </c>
      <c r="G7" s="5">
        <v>71.433998110000005</v>
      </c>
      <c r="H7" s="5">
        <v>70.510498049999995</v>
      </c>
      <c r="I7" s="5">
        <v>70.989501950000005</v>
      </c>
      <c r="J7" s="5">
        <v>33200000</v>
      </c>
      <c r="K7" s="5">
        <v>70.733093260000004</v>
      </c>
    </row>
    <row r="8" spans="1:11">
      <c r="A8" s="4">
        <v>43843</v>
      </c>
      <c r="B8" s="5">
        <f t="shared" si="0"/>
        <v>13</v>
      </c>
      <c r="C8" s="5">
        <f t="shared" si="1"/>
        <v>1</v>
      </c>
      <c r="D8" s="5">
        <f t="shared" si="2"/>
        <v>2020</v>
      </c>
      <c r="E8" s="5" t="str">
        <f t="shared" si="3"/>
        <v>Q1</v>
      </c>
      <c r="F8" s="5">
        <v>71.473503109999996</v>
      </c>
      <c r="G8" s="5">
        <v>71.747001650000001</v>
      </c>
      <c r="H8" s="5">
        <v>70.980003359999998</v>
      </c>
      <c r="I8" s="5">
        <v>71.447998049999995</v>
      </c>
      <c r="J8" s="5">
        <v>26258000</v>
      </c>
      <c r="K8" s="5">
        <v>71.189926150000005</v>
      </c>
    </row>
    <row r="9" spans="1:11">
      <c r="A9" s="4">
        <v>43844</v>
      </c>
      <c r="B9" s="5">
        <f t="shared" si="0"/>
        <v>14</v>
      </c>
      <c r="C9" s="5">
        <f t="shared" si="1"/>
        <v>1</v>
      </c>
      <c r="D9" s="5">
        <f t="shared" si="2"/>
        <v>2020</v>
      </c>
      <c r="E9" s="5" t="str">
        <f t="shared" si="3"/>
        <v>Q1</v>
      </c>
      <c r="F9" s="5">
        <v>71.762496949999999</v>
      </c>
      <c r="G9" s="5">
        <v>72.073997500000004</v>
      </c>
      <c r="H9" s="5">
        <v>71.268501279999995</v>
      </c>
      <c r="I9" s="5">
        <v>72.001502990000006</v>
      </c>
      <c r="J9" s="5">
        <v>30730000</v>
      </c>
      <c r="K9" s="5">
        <v>71.741432189999998</v>
      </c>
    </row>
    <row r="10" spans="1:11">
      <c r="A10" s="4">
        <v>43845</v>
      </c>
      <c r="B10" s="5">
        <f t="shared" si="0"/>
        <v>15</v>
      </c>
      <c r="C10" s="5">
        <f t="shared" si="1"/>
        <v>1</v>
      </c>
      <c r="D10" s="5">
        <f t="shared" si="2"/>
        <v>2020</v>
      </c>
      <c r="E10" s="5" t="str">
        <f t="shared" si="3"/>
        <v>Q1</v>
      </c>
      <c r="F10" s="5">
        <v>72</v>
      </c>
      <c r="G10" s="5">
        <v>72.131500239999994</v>
      </c>
      <c r="H10" s="5">
        <v>71.388496399999994</v>
      </c>
      <c r="I10" s="5">
        <v>71.529502870000002</v>
      </c>
      <c r="J10" s="5">
        <v>26076000</v>
      </c>
      <c r="K10" s="5">
        <v>71.271141049999997</v>
      </c>
    </row>
    <row r="11" spans="1:11">
      <c r="A11" s="4">
        <v>43846</v>
      </c>
      <c r="B11" s="5">
        <f t="shared" si="0"/>
        <v>16</v>
      </c>
      <c r="C11" s="5">
        <f t="shared" si="1"/>
        <v>1</v>
      </c>
      <c r="D11" s="5">
        <f t="shared" si="2"/>
        <v>2020</v>
      </c>
      <c r="E11" s="5" t="str">
        <f t="shared" si="3"/>
        <v>Q1</v>
      </c>
      <c r="F11" s="5">
        <v>71.651000980000006</v>
      </c>
      <c r="G11" s="5">
        <v>72.039001459999994</v>
      </c>
      <c r="H11" s="5">
        <v>71.583000179999999</v>
      </c>
      <c r="I11" s="5">
        <v>71.959999080000003</v>
      </c>
      <c r="J11" s="5">
        <v>21550000</v>
      </c>
      <c r="K11" s="5">
        <v>71.700080869999994</v>
      </c>
    </row>
    <row r="12" spans="1:11">
      <c r="A12" s="4">
        <v>43847</v>
      </c>
      <c r="B12" s="5">
        <f t="shared" si="0"/>
        <v>17</v>
      </c>
      <c r="C12" s="5">
        <f t="shared" si="1"/>
        <v>1</v>
      </c>
      <c r="D12" s="5">
        <f t="shared" si="2"/>
        <v>2020</v>
      </c>
      <c r="E12" s="5" t="str">
        <f t="shared" si="3"/>
        <v>Q1</v>
      </c>
      <c r="F12" s="5">
        <v>72.272499080000003</v>
      </c>
      <c r="G12" s="5">
        <v>72.535003660000001</v>
      </c>
      <c r="H12" s="5">
        <v>72</v>
      </c>
      <c r="I12" s="5">
        <v>72.50800323</v>
      </c>
      <c r="J12" s="5">
        <v>26080000</v>
      </c>
      <c r="K12" s="5">
        <v>72.246101379999999</v>
      </c>
    </row>
    <row r="13" spans="1:11">
      <c r="A13" s="4">
        <v>43851</v>
      </c>
      <c r="B13" s="5">
        <f t="shared" si="0"/>
        <v>21</v>
      </c>
      <c r="C13" s="5">
        <f t="shared" si="1"/>
        <v>1</v>
      </c>
      <c r="D13" s="5">
        <f t="shared" si="2"/>
        <v>2020</v>
      </c>
      <c r="E13" s="5" t="str">
        <f t="shared" si="3"/>
        <v>Q1</v>
      </c>
      <c r="F13" s="5">
        <v>73.126998900000004</v>
      </c>
      <c r="G13" s="5">
        <v>74.027496339999999</v>
      </c>
      <c r="H13" s="5">
        <v>72.82749939</v>
      </c>
      <c r="I13" s="5">
        <v>73.975997919999998</v>
      </c>
      <c r="J13" s="5">
        <v>52424000</v>
      </c>
      <c r="K13" s="5">
        <v>73.708793639999996</v>
      </c>
    </row>
    <row r="14" spans="1:11">
      <c r="A14" s="4">
        <v>43852</v>
      </c>
      <c r="B14" s="5">
        <f t="shared" si="0"/>
        <v>22</v>
      </c>
      <c r="C14" s="5">
        <f t="shared" si="1"/>
        <v>1</v>
      </c>
      <c r="D14" s="5">
        <f t="shared" si="2"/>
        <v>2020</v>
      </c>
      <c r="E14" s="5" t="str">
        <f t="shared" si="3"/>
        <v>Q1</v>
      </c>
      <c r="F14" s="5">
        <v>73.949996949999999</v>
      </c>
      <c r="G14" s="5">
        <v>74.494003300000003</v>
      </c>
      <c r="H14" s="5">
        <v>73.510498049999995</v>
      </c>
      <c r="I14" s="5">
        <v>74.112503050000001</v>
      </c>
      <c r="J14" s="5">
        <v>48930000</v>
      </c>
      <c r="K14" s="5">
        <v>73.844818119999999</v>
      </c>
    </row>
    <row r="15" spans="1:11">
      <c r="A15" s="4">
        <v>43853</v>
      </c>
      <c r="B15" s="5">
        <f t="shared" si="0"/>
        <v>23</v>
      </c>
      <c r="C15" s="5">
        <f t="shared" si="1"/>
        <v>1</v>
      </c>
      <c r="D15" s="5">
        <f t="shared" si="2"/>
        <v>2020</v>
      </c>
      <c r="E15" s="5" t="str">
        <f t="shared" si="3"/>
        <v>Q1</v>
      </c>
      <c r="F15" s="5">
        <v>74.486503600000006</v>
      </c>
      <c r="G15" s="5">
        <v>75.028999330000005</v>
      </c>
      <c r="H15" s="5">
        <v>74.13300323</v>
      </c>
      <c r="I15" s="5">
        <v>74.193496699999997</v>
      </c>
      <c r="J15" s="5">
        <v>28458000</v>
      </c>
      <c r="K15" s="5">
        <v>73.925506589999998</v>
      </c>
    </row>
    <row r="16" spans="1:11">
      <c r="A16" s="4">
        <v>43854</v>
      </c>
      <c r="B16" s="5">
        <f t="shared" si="0"/>
        <v>24</v>
      </c>
      <c r="C16" s="5">
        <f t="shared" si="1"/>
        <v>1</v>
      </c>
      <c r="D16" s="5">
        <f t="shared" si="2"/>
        <v>2020</v>
      </c>
      <c r="E16" s="5" t="str">
        <f t="shared" si="3"/>
        <v>Q1</v>
      </c>
      <c r="F16" s="5">
        <v>74.377502440000001</v>
      </c>
      <c r="G16" s="5">
        <v>74.675003050000001</v>
      </c>
      <c r="H16" s="5">
        <v>74.015998839999995</v>
      </c>
      <c r="I16" s="5">
        <v>74.234497070000003</v>
      </c>
      <c r="J16" s="5">
        <v>26650000</v>
      </c>
      <c r="K16" s="5">
        <v>73.966362000000004</v>
      </c>
    </row>
    <row r="17" spans="1:11">
      <c r="A17" s="4">
        <v>43857</v>
      </c>
      <c r="B17" s="5">
        <f t="shared" si="0"/>
        <v>27</v>
      </c>
      <c r="C17" s="5">
        <f t="shared" si="1"/>
        <v>1</v>
      </c>
      <c r="D17" s="5">
        <f t="shared" si="2"/>
        <v>2020</v>
      </c>
      <c r="E17" s="5" t="str">
        <f t="shared" si="3"/>
        <v>Q1</v>
      </c>
      <c r="F17" s="5">
        <v>74.640998839999995</v>
      </c>
      <c r="G17" s="5">
        <v>74.709999080000003</v>
      </c>
      <c r="H17" s="5">
        <v>73.158996579999993</v>
      </c>
      <c r="I17" s="5">
        <v>73.308502200000007</v>
      </c>
      <c r="J17" s="5">
        <v>29786000</v>
      </c>
      <c r="K17" s="5">
        <v>73.043708800000005</v>
      </c>
    </row>
    <row r="18" spans="1:11">
      <c r="A18" s="4">
        <v>43858</v>
      </c>
      <c r="B18" s="5">
        <f t="shared" si="0"/>
        <v>28</v>
      </c>
      <c r="C18" s="5">
        <f t="shared" si="1"/>
        <v>1</v>
      </c>
      <c r="D18" s="5">
        <f t="shared" si="2"/>
        <v>2020</v>
      </c>
      <c r="E18" s="5" t="str">
        <f t="shared" si="3"/>
        <v>Q1</v>
      </c>
      <c r="F18" s="5">
        <v>71.577003480000002</v>
      </c>
      <c r="G18" s="5">
        <v>71.829002380000006</v>
      </c>
      <c r="H18" s="5">
        <v>70.974998470000003</v>
      </c>
      <c r="I18" s="5">
        <v>71.586502080000002</v>
      </c>
      <c r="J18" s="5">
        <v>34132000</v>
      </c>
      <c r="K18" s="5">
        <v>71.32793427</v>
      </c>
    </row>
    <row r="19" spans="1:11">
      <c r="A19" s="4">
        <v>43859</v>
      </c>
      <c r="B19" s="5">
        <f t="shared" si="0"/>
        <v>29</v>
      </c>
      <c r="C19" s="5">
        <f t="shared" si="1"/>
        <v>1</v>
      </c>
      <c r="D19" s="5">
        <f t="shared" si="2"/>
        <v>2020</v>
      </c>
      <c r="E19" s="5" t="str">
        <f t="shared" si="3"/>
        <v>Q1</v>
      </c>
      <c r="F19" s="5">
        <v>72.08699799</v>
      </c>
      <c r="G19" s="5">
        <v>72.739997860000003</v>
      </c>
      <c r="H19" s="5">
        <v>71.517997739999998</v>
      </c>
      <c r="I19" s="5">
        <v>72.525001529999997</v>
      </c>
      <c r="J19" s="5">
        <v>29724000</v>
      </c>
      <c r="K19" s="5">
        <v>72.263038640000005</v>
      </c>
    </row>
    <row r="20" spans="1:11">
      <c r="A20" s="4">
        <v>43860</v>
      </c>
      <c r="B20" s="5">
        <f t="shared" si="0"/>
        <v>30</v>
      </c>
      <c r="C20" s="5">
        <f t="shared" si="1"/>
        <v>1</v>
      </c>
      <c r="D20" s="5">
        <f t="shared" si="2"/>
        <v>2020</v>
      </c>
      <c r="E20" s="5" t="str">
        <f t="shared" si="3"/>
        <v>Q1</v>
      </c>
      <c r="F20" s="5">
        <v>72.922996519999998</v>
      </c>
      <c r="G20" s="5">
        <v>73.207000730000004</v>
      </c>
      <c r="H20" s="5">
        <v>72.269500730000004</v>
      </c>
      <c r="I20" s="5">
        <v>72.834999080000003</v>
      </c>
      <c r="J20" s="5">
        <v>21566000</v>
      </c>
      <c r="K20" s="5">
        <v>72.571914669999998</v>
      </c>
    </row>
    <row r="21" spans="1:11">
      <c r="A21" s="4">
        <v>43861</v>
      </c>
      <c r="B21" s="5">
        <f t="shared" si="0"/>
        <v>31</v>
      </c>
      <c r="C21" s="5">
        <f t="shared" si="1"/>
        <v>1</v>
      </c>
      <c r="D21" s="5">
        <f t="shared" si="2"/>
        <v>2020</v>
      </c>
      <c r="E21" s="5" t="str">
        <f t="shared" si="3"/>
        <v>Q1</v>
      </c>
      <c r="F21" s="5">
        <v>71.90499878</v>
      </c>
      <c r="G21" s="5">
        <v>72.762496949999999</v>
      </c>
      <c r="H21" s="5">
        <v>71.75</v>
      </c>
      <c r="I21" s="5">
        <v>72.712501529999997</v>
      </c>
      <c r="J21" s="5">
        <v>27110000</v>
      </c>
      <c r="K21" s="5">
        <v>72.449867249999997</v>
      </c>
    </row>
    <row r="22" spans="1:11">
      <c r="A22" s="4">
        <v>43864</v>
      </c>
      <c r="B22" s="5">
        <f t="shared" si="0"/>
        <v>3</v>
      </c>
      <c r="C22" s="5">
        <f t="shared" si="1"/>
        <v>2</v>
      </c>
      <c r="D22" s="5">
        <f t="shared" si="2"/>
        <v>2020</v>
      </c>
      <c r="E22" s="5" t="str">
        <f t="shared" si="3"/>
        <v>Q1</v>
      </c>
      <c r="F22" s="5">
        <v>73.392997739999998</v>
      </c>
      <c r="G22" s="5">
        <v>73.483497619999994</v>
      </c>
      <c r="H22" s="5">
        <v>71.352996829999995</v>
      </c>
      <c r="I22" s="5">
        <v>71.638999940000005</v>
      </c>
      <c r="J22" s="5">
        <v>43822000</v>
      </c>
      <c r="K22" s="5">
        <v>71.380241389999995</v>
      </c>
    </row>
    <row r="23" spans="1:11">
      <c r="A23" s="4">
        <v>43865</v>
      </c>
      <c r="B23" s="5">
        <f t="shared" si="0"/>
        <v>4</v>
      </c>
      <c r="C23" s="5">
        <f t="shared" si="1"/>
        <v>2</v>
      </c>
      <c r="D23" s="5">
        <f t="shared" si="2"/>
        <v>2020</v>
      </c>
      <c r="E23" s="5" t="str">
        <f t="shared" si="3"/>
        <v>Q1</v>
      </c>
      <c r="F23" s="5">
        <v>73.082496640000002</v>
      </c>
      <c r="G23" s="5">
        <v>74.315002440000001</v>
      </c>
      <c r="H23" s="5">
        <v>72.830497739999998</v>
      </c>
      <c r="I23" s="5">
        <v>74.129997250000002</v>
      </c>
      <c r="J23" s="5">
        <v>71636000</v>
      </c>
      <c r="K23" s="5">
        <v>73.862243649999996</v>
      </c>
    </row>
    <row r="24" spans="1:11">
      <c r="A24" s="4">
        <v>43866</v>
      </c>
      <c r="B24" s="5">
        <f t="shared" si="0"/>
        <v>5</v>
      </c>
      <c r="C24" s="5">
        <f t="shared" si="1"/>
        <v>2</v>
      </c>
      <c r="D24" s="5">
        <f t="shared" si="2"/>
        <v>2020</v>
      </c>
      <c r="E24" s="5" t="str">
        <f t="shared" si="3"/>
        <v>Q1</v>
      </c>
      <c r="F24" s="5">
        <v>72.724502560000005</v>
      </c>
      <c r="G24" s="5">
        <v>73.36699677</v>
      </c>
      <c r="H24" s="5">
        <v>71.101501459999994</v>
      </c>
      <c r="I24" s="5">
        <v>72.270500179999999</v>
      </c>
      <c r="J24" s="5">
        <v>95880000</v>
      </c>
      <c r="K24" s="5">
        <v>72.009460450000006</v>
      </c>
    </row>
    <row r="25" spans="1:11">
      <c r="A25" s="4">
        <v>43867</v>
      </c>
      <c r="B25" s="5">
        <f t="shared" si="0"/>
        <v>6</v>
      </c>
      <c r="C25" s="5">
        <f t="shared" si="1"/>
        <v>2</v>
      </c>
      <c r="D25" s="5">
        <f t="shared" si="2"/>
        <v>2020</v>
      </c>
      <c r="E25" s="5" t="str">
        <f t="shared" si="3"/>
        <v>Q1</v>
      </c>
      <c r="F25" s="5">
        <v>73.180496219999995</v>
      </c>
      <c r="G25" s="5">
        <v>73.228996280000004</v>
      </c>
      <c r="H25" s="5">
        <v>71.484001160000005</v>
      </c>
      <c r="I25" s="5">
        <v>72.302497860000003</v>
      </c>
      <c r="J25" s="5">
        <v>36376000</v>
      </c>
      <c r="K25" s="5">
        <v>72.041343690000005</v>
      </c>
    </row>
    <row r="26" spans="1:11">
      <c r="A26" s="4">
        <v>43868</v>
      </c>
      <c r="B26" s="5">
        <f t="shared" si="0"/>
        <v>7</v>
      </c>
      <c r="C26" s="5">
        <f t="shared" si="1"/>
        <v>2</v>
      </c>
      <c r="D26" s="5">
        <f t="shared" si="2"/>
        <v>2020</v>
      </c>
      <c r="E26" s="5" t="str">
        <f t="shared" si="3"/>
        <v>Q1</v>
      </c>
      <c r="F26" s="5">
        <v>72.598999019999994</v>
      </c>
      <c r="G26" s="5">
        <v>74.078002929999997</v>
      </c>
      <c r="H26" s="5">
        <v>72.524002080000002</v>
      </c>
      <c r="I26" s="5">
        <v>73.798500059999995</v>
      </c>
      <c r="J26" s="5">
        <v>37822000</v>
      </c>
      <c r="K26" s="5">
        <v>73.531944269999997</v>
      </c>
    </row>
    <row r="27" spans="1:11">
      <c r="A27" s="4">
        <v>43871</v>
      </c>
      <c r="B27" s="5">
        <f t="shared" si="0"/>
        <v>10</v>
      </c>
      <c r="C27" s="5">
        <f t="shared" si="1"/>
        <v>2</v>
      </c>
      <c r="D27" s="5">
        <f t="shared" si="2"/>
        <v>2020</v>
      </c>
      <c r="E27" s="5" t="str">
        <f t="shared" si="3"/>
        <v>Q1</v>
      </c>
      <c r="F27" s="5">
        <v>73.369499210000001</v>
      </c>
      <c r="G27" s="5">
        <v>74.262496949999999</v>
      </c>
      <c r="H27" s="5">
        <v>73.270500179999999</v>
      </c>
      <c r="I27" s="5">
        <v>73.955497739999998</v>
      </c>
      <c r="J27" s="5">
        <v>28360000</v>
      </c>
      <c r="K27" s="5">
        <v>73.688369750000007</v>
      </c>
    </row>
    <row r="28" spans="1:11">
      <c r="A28" s="4">
        <v>43872</v>
      </c>
      <c r="B28" s="5">
        <f t="shared" si="0"/>
        <v>11</v>
      </c>
      <c r="C28" s="5">
        <f t="shared" si="1"/>
        <v>2</v>
      </c>
      <c r="D28" s="5">
        <f t="shared" si="2"/>
        <v>2020</v>
      </c>
      <c r="E28" s="5" t="str">
        <f t="shared" si="3"/>
        <v>Q1</v>
      </c>
      <c r="F28" s="5">
        <v>73.861503600000006</v>
      </c>
      <c r="G28" s="5">
        <v>75.444000239999994</v>
      </c>
      <c r="H28" s="5">
        <v>73.760002139999997</v>
      </c>
      <c r="I28" s="5">
        <v>75.432998659999996</v>
      </c>
      <c r="J28" s="5">
        <v>38302000</v>
      </c>
      <c r="K28" s="5">
        <v>75.160545350000007</v>
      </c>
    </row>
    <row r="29" spans="1:11">
      <c r="A29" s="4">
        <v>43873</v>
      </c>
      <c r="B29" s="5">
        <f t="shared" si="0"/>
        <v>12</v>
      </c>
      <c r="C29" s="5">
        <f t="shared" si="1"/>
        <v>2</v>
      </c>
      <c r="D29" s="5">
        <f t="shared" si="2"/>
        <v>2020</v>
      </c>
      <c r="E29" s="5" t="str">
        <f t="shared" si="3"/>
        <v>Q1</v>
      </c>
      <c r="F29" s="5">
        <v>75.663497919999998</v>
      </c>
      <c r="G29" s="5">
        <v>76.494003300000003</v>
      </c>
      <c r="H29" s="5">
        <v>75.272499080000003</v>
      </c>
      <c r="I29" s="5">
        <v>75.502998349999999</v>
      </c>
      <c r="J29" s="5">
        <v>34852000</v>
      </c>
      <c r="K29" s="5">
        <v>75.23027802</v>
      </c>
    </row>
    <row r="30" spans="1:11">
      <c r="A30" s="4">
        <v>43874</v>
      </c>
      <c r="B30" s="5">
        <f t="shared" si="0"/>
        <v>13</v>
      </c>
      <c r="C30" s="5">
        <f t="shared" si="1"/>
        <v>2</v>
      </c>
      <c r="D30" s="5">
        <f t="shared" si="2"/>
        <v>2020</v>
      </c>
      <c r="E30" s="5" t="str">
        <f t="shared" si="3"/>
        <v>Q1</v>
      </c>
      <c r="F30" s="5">
        <v>75.792999269999996</v>
      </c>
      <c r="G30" s="5">
        <v>76.01499939</v>
      </c>
      <c r="H30" s="5">
        <v>75.433502200000007</v>
      </c>
      <c r="I30" s="5">
        <v>75.931503300000003</v>
      </c>
      <c r="J30" s="5">
        <v>31042000</v>
      </c>
      <c r="K30" s="5">
        <v>75.657241819999996</v>
      </c>
    </row>
    <row r="31" spans="1:11">
      <c r="A31" s="4">
        <v>43875</v>
      </c>
      <c r="B31" s="5">
        <f t="shared" si="0"/>
        <v>14</v>
      </c>
      <c r="C31" s="5">
        <f t="shared" si="1"/>
        <v>2</v>
      </c>
      <c r="D31" s="5">
        <f t="shared" si="2"/>
        <v>2020</v>
      </c>
      <c r="E31" s="5" t="str">
        <f t="shared" si="3"/>
        <v>Q1</v>
      </c>
      <c r="F31" s="5">
        <v>75.5</v>
      </c>
      <c r="G31" s="5">
        <v>76.29750061</v>
      </c>
      <c r="H31" s="5">
        <v>75.199996949999999</v>
      </c>
      <c r="I31" s="5">
        <v>75.669502260000002</v>
      </c>
      <c r="J31" s="5">
        <v>22914000</v>
      </c>
      <c r="K31" s="5">
        <v>75.396186830000005</v>
      </c>
    </row>
    <row r="32" spans="1:11">
      <c r="A32" s="4">
        <v>43879</v>
      </c>
      <c r="B32" s="5">
        <f t="shared" si="0"/>
        <v>18</v>
      </c>
      <c r="C32" s="5">
        <f t="shared" si="1"/>
        <v>2</v>
      </c>
      <c r="D32" s="5">
        <f t="shared" si="2"/>
        <v>2020</v>
      </c>
      <c r="E32" s="5" t="str">
        <f t="shared" si="3"/>
        <v>Q1</v>
      </c>
      <c r="F32" s="5">
        <v>75.726501459999994</v>
      </c>
      <c r="G32" s="5">
        <v>76.002502440000001</v>
      </c>
      <c r="H32" s="5">
        <v>75.277496339999999</v>
      </c>
      <c r="I32" s="5">
        <v>75.936500550000005</v>
      </c>
      <c r="J32" s="5">
        <v>23198000</v>
      </c>
      <c r="K32" s="5">
        <v>75.662216189999995</v>
      </c>
    </row>
    <row r="33" spans="1:11">
      <c r="A33" s="4">
        <v>43880</v>
      </c>
      <c r="B33" s="5">
        <f t="shared" si="0"/>
        <v>19</v>
      </c>
      <c r="C33" s="5">
        <f t="shared" si="1"/>
        <v>2</v>
      </c>
      <c r="D33" s="5">
        <f t="shared" si="2"/>
        <v>2020</v>
      </c>
      <c r="E33" s="5" t="str">
        <f t="shared" si="3"/>
        <v>Q1</v>
      </c>
      <c r="F33" s="5">
        <v>75.717002870000002</v>
      </c>
      <c r="G33" s="5">
        <v>76.527999879999996</v>
      </c>
      <c r="H33" s="5">
        <v>75.550498959999999</v>
      </c>
      <c r="I33" s="5">
        <v>75.972000120000004</v>
      </c>
      <c r="J33" s="5">
        <v>25642000</v>
      </c>
      <c r="K33" s="5">
        <v>75.697593690000005</v>
      </c>
    </row>
    <row r="34" spans="1:11">
      <c r="A34" s="4">
        <v>43881</v>
      </c>
      <c r="B34" s="5">
        <f t="shared" si="0"/>
        <v>20</v>
      </c>
      <c r="C34" s="5">
        <f t="shared" si="1"/>
        <v>2</v>
      </c>
      <c r="D34" s="5">
        <f t="shared" si="2"/>
        <v>2020</v>
      </c>
      <c r="E34" s="5" t="str">
        <f t="shared" si="3"/>
        <v>Q1</v>
      </c>
      <c r="F34" s="5">
        <v>76.36000061</v>
      </c>
      <c r="G34" s="5">
        <v>76.537002560000005</v>
      </c>
      <c r="H34" s="5">
        <v>76.049003600000006</v>
      </c>
      <c r="I34" s="5">
        <v>76.243499760000006</v>
      </c>
      <c r="J34" s="5">
        <v>22746000</v>
      </c>
      <c r="K34" s="5">
        <v>75.968109130000002</v>
      </c>
    </row>
    <row r="35" spans="1:11">
      <c r="A35" s="4">
        <v>43882</v>
      </c>
      <c r="B35" s="5">
        <f t="shared" si="0"/>
        <v>21</v>
      </c>
      <c r="C35" s="5">
        <f t="shared" si="1"/>
        <v>2</v>
      </c>
      <c r="D35" s="5">
        <f t="shared" si="2"/>
        <v>2020</v>
      </c>
      <c r="E35" s="5" t="str">
        <f t="shared" si="3"/>
        <v>Q1</v>
      </c>
      <c r="F35" s="5">
        <v>75.950500489999996</v>
      </c>
      <c r="G35" s="5">
        <v>76.353500370000006</v>
      </c>
      <c r="H35" s="5">
        <v>75.212997439999995</v>
      </c>
      <c r="I35" s="5">
        <v>75.849502560000005</v>
      </c>
      <c r="J35" s="5">
        <v>25962000</v>
      </c>
      <c r="K35" s="5">
        <v>75.575531010000006</v>
      </c>
    </row>
    <row r="36" spans="1:11">
      <c r="A36" s="4">
        <v>43885</v>
      </c>
      <c r="B36" s="5">
        <f t="shared" si="0"/>
        <v>24</v>
      </c>
      <c r="C36" s="5">
        <f t="shared" si="1"/>
        <v>2</v>
      </c>
      <c r="D36" s="5">
        <f t="shared" si="2"/>
        <v>2020</v>
      </c>
      <c r="E36" s="5" t="str">
        <f t="shared" si="3"/>
        <v>Q1</v>
      </c>
      <c r="F36" s="5">
        <v>75.228996280000004</v>
      </c>
      <c r="G36" s="5">
        <v>75.54750061</v>
      </c>
      <c r="H36" s="5">
        <v>73.924499510000004</v>
      </c>
      <c r="I36" s="5">
        <v>74.172996519999998</v>
      </c>
      <c r="J36" s="5">
        <v>42520000</v>
      </c>
      <c r="K36" s="5">
        <v>73.905082699999994</v>
      </c>
    </row>
    <row r="37" spans="1:11">
      <c r="A37" s="4">
        <v>43886</v>
      </c>
      <c r="B37" s="5">
        <f t="shared" si="0"/>
        <v>25</v>
      </c>
      <c r="C37" s="5">
        <f t="shared" si="1"/>
        <v>2</v>
      </c>
      <c r="D37" s="5">
        <f t="shared" si="2"/>
        <v>2020</v>
      </c>
      <c r="E37" s="5" t="str">
        <f t="shared" si="3"/>
        <v>Q1</v>
      </c>
      <c r="F37" s="5">
        <v>71.152496339999999</v>
      </c>
      <c r="G37" s="5">
        <v>71.819000239999994</v>
      </c>
      <c r="H37" s="5">
        <v>70.339500430000001</v>
      </c>
      <c r="I37" s="5">
        <v>70.992996219999995</v>
      </c>
      <c r="J37" s="5">
        <v>49560000</v>
      </c>
      <c r="K37" s="5">
        <v>70.736572269999996</v>
      </c>
    </row>
    <row r="38" spans="1:11">
      <c r="A38" s="4">
        <v>43887</v>
      </c>
      <c r="B38" s="5">
        <f t="shared" si="0"/>
        <v>26</v>
      </c>
      <c r="C38" s="5">
        <f t="shared" si="1"/>
        <v>2</v>
      </c>
      <c r="D38" s="5">
        <f t="shared" si="2"/>
        <v>2020</v>
      </c>
      <c r="E38" s="5" t="str">
        <f t="shared" si="3"/>
        <v>Q1</v>
      </c>
      <c r="F38" s="5">
        <v>71.550003050000001</v>
      </c>
      <c r="G38" s="5">
        <v>71.84249878</v>
      </c>
      <c r="H38" s="5">
        <v>69.021003719999996</v>
      </c>
      <c r="I38" s="5">
        <v>69.316001889999995</v>
      </c>
      <c r="J38" s="5">
        <v>51580000</v>
      </c>
      <c r="K38" s="5">
        <v>69.065628050000001</v>
      </c>
    </row>
    <row r="39" spans="1:11">
      <c r="A39" s="4">
        <v>43888</v>
      </c>
      <c r="B39" s="5">
        <f t="shared" si="0"/>
        <v>27</v>
      </c>
      <c r="C39" s="5">
        <f t="shared" si="1"/>
        <v>2</v>
      </c>
      <c r="D39" s="5">
        <f t="shared" si="2"/>
        <v>2020</v>
      </c>
      <c r="E39" s="5" t="str">
        <f t="shared" si="3"/>
        <v>Q1</v>
      </c>
      <c r="F39" s="5">
        <v>69.749000550000005</v>
      </c>
      <c r="G39" s="5">
        <v>70.683502200000007</v>
      </c>
      <c r="H39" s="5">
        <v>68.82749939</v>
      </c>
      <c r="I39" s="5">
        <v>69.523498540000006</v>
      </c>
      <c r="J39" s="5">
        <v>49776000</v>
      </c>
      <c r="K39" s="5">
        <v>69.27237701</v>
      </c>
    </row>
    <row r="40" spans="1:11">
      <c r="A40" s="4">
        <v>43889</v>
      </c>
      <c r="B40" s="5">
        <f t="shared" si="0"/>
        <v>28</v>
      </c>
      <c r="C40" s="5">
        <f t="shared" si="1"/>
        <v>2</v>
      </c>
      <c r="D40" s="5">
        <f t="shared" si="2"/>
        <v>2020</v>
      </c>
      <c r="E40" s="5" t="str">
        <f t="shared" si="3"/>
        <v>Q1</v>
      </c>
      <c r="F40" s="5">
        <v>67.957000730000004</v>
      </c>
      <c r="G40" s="5">
        <v>68.47000122</v>
      </c>
      <c r="H40" s="5">
        <v>65.71199799</v>
      </c>
      <c r="I40" s="5">
        <v>65.747497559999999</v>
      </c>
      <c r="J40" s="5">
        <v>62290000</v>
      </c>
      <c r="K40" s="5">
        <v>65.510017399999995</v>
      </c>
    </row>
    <row r="41" spans="1:11">
      <c r="A41" s="4">
        <v>43892</v>
      </c>
      <c r="B41" s="5">
        <f t="shared" si="0"/>
        <v>2</v>
      </c>
      <c r="C41" s="5">
        <f t="shared" si="1"/>
        <v>3</v>
      </c>
      <c r="D41" s="5">
        <f t="shared" si="2"/>
        <v>2020</v>
      </c>
      <c r="E41" s="5" t="str">
        <f t="shared" si="3"/>
        <v>Q1</v>
      </c>
      <c r="F41" s="5">
        <v>63.715499880000003</v>
      </c>
      <c r="G41" s="5">
        <v>67.122497559999999</v>
      </c>
      <c r="H41" s="5">
        <v>63.410499569999999</v>
      </c>
      <c r="I41" s="5">
        <v>66.962501529999997</v>
      </c>
      <c r="J41" s="5">
        <v>80198000</v>
      </c>
      <c r="K41" s="5">
        <v>66.72062683</v>
      </c>
    </row>
    <row r="42" spans="1:11">
      <c r="A42" s="4">
        <v>43893</v>
      </c>
      <c r="B42" s="5">
        <f t="shared" si="0"/>
        <v>3</v>
      </c>
      <c r="C42" s="5">
        <f t="shared" si="1"/>
        <v>3</v>
      </c>
      <c r="D42" s="5">
        <f t="shared" si="2"/>
        <v>2020</v>
      </c>
      <c r="E42" s="5" t="str">
        <f t="shared" si="3"/>
        <v>Q1</v>
      </c>
      <c r="F42" s="5">
        <v>67.569503780000005</v>
      </c>
      <c r="G42" s="5">
        <v>69.373497009999994</v>
      </c>
      <c r="H42" s="5">
        <v>66.260002139999997</v>
      </c>
      <c r="I42" s="5">
        <v>69.316001889999995</v>
      </c>
      <c r="J42" s="5">
        <v>55430000</v>
      </c>
      <c r="K42" s="5">
        <v>69.065628050000001</v>
      </c>
    </row>
    <row r="43" spans="1:11">
      <c r="A43" s="4">
        <v>43894</v>
      </c>
      <c r="B43" s="5">
        <f t="shared" si="0"/>
        <v>4</v>
      </c>
      <c r="C43" s="5">
        <f t="shared" si="1"/>
        <v>3</v>
      </c>
      <c r="D43" s="5">
        <f t="shared" si="2"/>
        <v>2020</v>
      </c>
      <c r="E43" s="5" t="str">
        <f t="shared" si="3"/>
        <v>Q1</v>
      </c>
      <c r="F43" s="5">
        <v>69.884002690000003</v>
      </c>
      <c r="G43" s="5">
        <v>70.409500120000004</v>
      </c>
      <c r="H43" s="5">
        <v>66.46199799</v>
      </c>
      <c r="I43" s="5">
        <v>66.886001590000006</v>
      </c>
      <c r="J43" s="5">
        <v>56602000</v>
      </c>
      <c r="K43" s="5">
        <v>66.644416809999996</v>
      </c>
    </row>
    <row r="44" spans="1:11">
      <c r="A44" s="4">
        <v>43895</v>
      </c>
      <c r="B44" s="5">
        <f t="shared" si="0"/>
        <v>5</v>
      </c>
      <c r="C44" s="5">
        <f t="shared" si="1"/>
        <v>3</v>
      </c>
      <c r="D44" s="5">
        <f t="shared" si="2"/>
        <v>2020</v>
      </c>
      <c r="E44" s="5" t="str">
        <f t="shared" si="3"/>
        <v>Q1</v>
      </c>
      <c r="F44" s="5">
        <v>67.947998049999995</v>
      </c>
      <c r="G44" s="5">
        <v>69.138999940000005</v>
      </c>
      <c r="H44" s="5">
        <v>66.849998470000003</v>
      </c>
      <c r="I44" s="5">
        <v>69.08000183</v>
      </c>
      <c r="J44" s="5">
        <v>47598000</v>
      </c>
      <c r="K44" s="5">
        <v>68.83049011</v>
      </c>
    </row>
    <row r="45" spans="1:11">
      <c r="A45" s="4">
        <v>43896</v>
      </c>
      <c r="B45" s="5">
        <f t="shared" si="0"/>
        <v>6</v>
      </c>
      <c r="C45" s="5">
        <f t="shared" si="1"/>
        <v>3</v>
      </c>
      <c r="D45" s="5">
        <f t="shared" si="2"/>
        <v>2020</v>
      </c>
      <c r="E45" s="5" t="str">
        <f t="shared" si="3"/>
        <v>Q1</v>
      </c>
      <c r="F45" s="5">
        <v>67.277496339999999</v>
      </c>
      <c r="G45" s="5">
        <v>67.681503300000003</v>
      </c>
      <c r="H45" s="5">
        <v>65.082000730000004</v>
      </c>
      <c r="I45" s="5">
        <v>65.737998959999999</v>
      </c>
      <c r="J45" s="5">
        <v>54380000</v>
      </c>
      <c r="K45" s="5">
        <v>65.500556950000004</v>
      </c>
    </row>
    <row r="46" spans="1:11">
      <c r="A46" s="4">
        <v>43899</v>
      </c>
      <c r="B46" s="5">
        <f t="shared" si="0"/>
        <v>9</v>
      </c>
      <c r="C46" s="5">
        <f t="shared" si="1"/>
        <v>3</v>
      </c>
      <c r="D46" s="5">
        <f t="shared" si="2"/>
        <v>2020</v>
      </c>
      <c r="E46" s="5" t="str">
        <f t="shared" si="3"/>
        <v>Q1</v>
      </c>
      <c r="F46" s="5">
        <v>63.497501370000002</v>
      </c>
      <c r="G46" s="5">
        <v>65.137496949999999</v>
      </c>
      <c r="H46" s="5">
        <v>62.860500340000002</v>
      </c>
      <c r="I46" s="5">
        <v>64.787002560000005</v>
      </c>
      <c r="J46" s="5">
        <v>64640000</v>
      </c>
      <c r="K46" s="5">
        <v>64.55299377</v>
      </c>
    </row>
    <row r="47" spans="1:11">
      <c r="A47" s="4">
        <v>43900</v>
      </c>
      <c r="B47" s="5">
        <f t="shared" si="0"/>
        <v>10</v>
      </c>
      <c r="C47" s="5">
        <f t="shared" si="1"/>
        <v>3</v>
      </c>
      <c r="D47" s="5">
        <f t="shared" si="2"/>
        <v>2020</v>
      </c>
      <c r="E47" s="5" t="str">
        <f t="shared" si="3"/>
        <v>Q1</v>
      </c>
      <c r="F47" s="5">
        <v>60.248001100000003</v>
      </c>
      <c r="G47" s="5">
        <v>62.63650131</v>
      </c>
      <c r="H47" s="5">
        <v>59.902000430000001</v>
      </c>
      <c r="I47" s="5">
        <v>60.789501190000003</v>
      </c>
      <c r="J47" s="5">
        <v>69252000</v>
      </c>
      <c r="K47" s="5">
        <v>60.569927219999997</v>
      </c>
    </row>
    <row r="48" spans="1:11">
      <c r="A48" s="4">
        <v>43901</v>
      </c>
      <c r="B48" s="5">
        <f t="shared" si="0"/>
        <v>11</v>
      </c>
      <c r="C48" s="5">
        <f t="shared" si="1"/>
        <v>3</v>
      </c>
      <c r="D48" s="5">
        <f t="shared" si="2"/>
        <v>2020</v>
      </c>
      <c r="E48" s="5" t="str">
        <f t="shared" si="3"/>
        <v>Q1</v>
      </c>
      <c r="F48" s="5">
        <v>62.7195015</v>
      </c>
      <c r="G48" s="5">
        <v>63.792499540000001</v>
      </c>
      <c r="H48" s="5">
        <v>60.725498199999997</v>
      </c>
      <c r="I48" s="5">
        <v>63.758499149999999</v>
      </c>
      <c r="J48" s="5">
        <v>54872000</v>
      </c>
      <c r="K48" s="5">
        <v>63.528202059999998</v>
      </c>
    </row>
    <row r="49" spans="1:11">
      <c r="A49" s="4">
        <v>43902</v>
      </c>
      <c r="B49" s="5">
        <f t="shared" si="0"/>
        <v>12</v>
      </c>
      <c r="C49" s="5">
        <f t="shared" si="1"/>
        <v>3</v>
      </c>
      <c r="D49" s="5">
        <f t="shared" si="2"/>
        <v>2020</v>
      </c>
      <c r="E49" s="5" t="str">
        <f t="shared" si="3"/>
        <v>Q1</v>
      </c>
      <c r="F49" s="5">
        <v>62.413501740000001</v>
      </c>
      <c r="G49" s="5">
        <v>62.846500399999996</v>
      </c>
      <c r="H49" s="5">
        <v>59.556999210000001</v>
      </c>
      <c r="I49" s="5">
        <v>60.54499817</v>
      </c>
      <c r="J49" s="5">
        <v>54732000</v>
      </c>
      <c r="K49" s="5">
        <v>60.326309199999997</v>
      </c>
    </row>
    <row r="50" spans="1:11">
      <c r="A50" s="4">
        <v>43903</v>
      </c>
      <c r="B50" s="5">
        <f t="shared" si="0"/>
        <v>13</v>
      </c>
      <c r="C50" s="5">
        <f t="shared" si="1"/>
        <v>3</v>
      </c>
      <c r="D50" s="5">
        <f t="shared" si="2"/>
        <v>2020</v>
      </c>
      <c r="E50" s="5" t="str">
        <f t="shared" si="3"/>
        <v>Q1</v>
      </c>
      <c r="F50" s="5">
        <v>56.131000520000001</v>
      </c>
      <c r="G50" s="5">
        <v>59.4375</v>
      </c>
      <c r="H50" s="5">
        <v>55.423500060000002</v>
      </c>
      <c r="I50" s="5">
        <v>55.57749939</v>
      </c>
      <c r="J50" s="5">
        <v>94326000</v>
      </c>
      <c r="K50" s="5">
        <v>55.376754759999997</v>
      </c>
    </row>
    <row r="51" spans="1:11">
      <c r="A51" s="4">
        <v>43906</v>
      </c>
      <c r="B51" s="5">
        <f t="shared" si="0"/>
        <v>16</v>
      </c>
      <c r="C51" s="5">
        <f t="shared" si="1"/>
        <v>3</v>
      </c>
      <c r="D51" s="5">
        <f t="shared" si="2"/>
        <v>2020</v>
      </c>
      <c r="E51" s="5" t="str">
        <f t="shared" si="3"/>
        <v>Q1</v>
      </c>
      <c r="F51" s="5">
        <v>58.749500269999999</v>
      </c>
      <c r="G51" s="5">
        <v>60.72000122</v>
      </c>
      <c r="H51" s="5">
        <v>55.614498140000002</v>
      </c>
      <c r="I51" s="5">
        <v>60.713500979999999</v>
      </c>
      <c r="J51" s="5">
        <v>79400000</v>
      </c>
      <c r="K51" s="5">
        <v>60.494205469999997</v>
      </c>
    </row>
    <row r="52" spans="1:11">
      <c r="A52" s="4">
        <v>43907</v>
      </c>
      <c r="B52" s="5">
        <f t="shared" si="0"/>
        <v>17</v>
      </c>
      <c r="C52" s="5">
        <f t="shared" si="1"/>
        <v>3</v>
      </c>
      <c r="D52" s="5">
        <f t="shared" si="2"/>
        <v>2020</v>
      </c>
      <c r="E52" s="5" t="str">
        <f t="shared" si="3"/>
        <v>Q1</v>
      </c>
      <c r="F52" s="5">
        <v>54.480499270000003</v>
      </c>
      <c r="G52" s="5">
        <v>57.273498539999999</v>
      </c>
      <c r="H52" s="5">
        <v>53.35400009</v>
      </c>
      <c r="I52" s="5">
        <v>53.650001529999997</v>
      </c>
      <c r="J52" s="5">
        <v>96520000</v>
      </c>
      <c r="K52" s="5">
        <v>53.456218720000003</v>
      </c>
    </row>
    <row r="53" spans="1:11">
      <c r="A53" s="4">
        <v>43908</v>
      </c>
      <c r="B53" s="5">
        <f t="shared" si="0"/>
        <v>18</v>
      </c>
      <c r="C53" s="5">
        <f t="shared" si="1"/>
        <v>3</v>
      </c>
      <c r="D53" s="5">
        <f t="shared" si="2"/>
        <v>2020</v>
      </c>
      <c r="E53" s="5" t="str">
        <f t="shared" si="3"/>
        <v>Q1</v>
      </c>
      <c r="F53" s="5">
        <v>54.5320015</v>
      </c>
      <c r="G53" s="5">
        <v>56.299999239999998</v>
      </c>
      <c r="H53" s="5">
        <v>52.45500183</v>
      </c>
      <c r="I53" s="5">
        <v>55.902999880000003</v>
      </c>
      <c r="J53" s="5">
        <v>83194000</v>
      </c>
      <c r="K53" s="5">
        <v>55.701080320000003</v>
      </c>
    </row>
    <row r="54" spans="1:11">
      <c r="A54" s="4">
        <v>43909</v>
      </c>
      <c r="B54" s="5">
        <f t="shared" si="0"/>
        <v>19</v>
      </c>
      <c r="C54" s="5">
        <f t="shared" si="1"/>
        <v>3</v>
      </c>
      <c r="D54" s="5">
        <f t="shared" si="2"/>
        <v>2020</v>
      </c>
      <c r="E54" s="5" t="str">
        <f t="shared" si="3"/>
        <v>Q1</v>
      </c>
      <c r="F54" s="5">
        <v>52.997001650000001</v>
      </c>
      <c r="G54" s="5">
        <v>55.249500269999999</v>
      </c>
      <c r="H54" s="5">
        <v>51.849998470000003</v>
      </c>
      <c r="I54" s="5">
        <v>54.559501650000001</v>
      </c>
      <c r="J54" s="5">
        <v>93044000</v>
      </c>
      <c r="K54" s="5">
        <v>54.362430570000001</v>
      </c>
    </row>
    <row r="55" spans="1:11">
      <c r="A55" s="4">
        <v>43910</v>
      </c>
      <c r="B55" s="5">
        <f t="shared" si="0"/>
        <v>20</v>
      </c>
      <c r="C55" s="5">
        <f t="shared" si="1"/>
        <v>3</v>
      </c>
      <c r="D55" s="5">
        <f t="shared" si="2"/>
        <v>2020</v>
      </c>
      <c r="E55" s="5" t="str">
        <f t="shared" si="3"/>
        <v>Q1</v>
      </c>
      <c r="F55" s="5">
        <v>54.4109993</v>
      </c>
      <c r="G55" s="5">
        <v>57.630500789999999</v>
      </c>
      <c r="H55" s="5">
        <v>52.777500150000002</v>
      </c>
      <c r="I55" s="5">
        <v>55.58349991</v>
      </c>
      <c r="J55" s="5">
        <v>74064000</v>
      </c>
      <c r="K55" s="5">
        <v>55.382736209999997</v>
      </c>
    </row>
    <row r="56" spans="1:11">
      <c r="A56" s="4">
        <v>43913</v>
      </c>
      <c r="B56" s="5">
        <f t="shared" si="0"/>
        <v>23</v>
      </c>
      <c r="C56" s="5">
        <f t="shared" si="1"/>
        <v>3</v>
      </c>
      <c r="D56" s="5">
        <f t="shared" si="2"/>
        <v>2020</v>
      </c>
      <c r="E56" s="5" t="str">
        <f t="shared" si="3"/>
        <v>Q1</v>
      </c>
      <c r="F56" s="5">
        <v>56.54499817</v>
      </c>
      <c r="G56" s="5">
        <v>56.923999790000003</v>
      </c>
      <c r="H56" s="5">
        <v>53.104999540000001</v>
      </c>
      <c r="I56" s="5">
        <v>53.410499569999999</v>
      </c>
      <c r="J56" s="5">
        <v>82878000</v>
      </c>
      <c r="K56" s="5">
        <v>53.217582700000001</v>
      </c>
    </row>
    <row r="57" spans="1:11">
      <c r="A57" s="4">
        <v>43914</v>
      </c>
      <c r="B57" s="5">
        <f t="shared" si="0"/>
        <v>24</v>
      </c>
      <c r="C57" s="5">
        <f t="shared" si="1"/>
        <v>3</v>
      </c>
      <c r="D57" s="5">
        <f t="shared" si="2"/>
        <v>2020</v>
      </c>
      <c r="E57" s="5" t="str">
        <f t="shared" si="3"/>
        <v>Q1</v>
      </c>
      <c r="F57" s="5">
        <v>52.818500520000001</v>
      </c>
      <c r="G57" s="5">
        <v>53.345500950000002</v>
      </c>
      <c r="H57" s="5">
        <v>50.443500520000001</v>
      </c>
      <c r="I57" s="5">
        <v>52.706501009999997</v>
      </c>
      <c r="J57" s="5">
        <v>83672000</v>
      </c>
      <c r="K57" s="5">
        <v>52.516124730000001</v>
      </c>
    </row>
    <row r="58" spans="1:11">
      <c r="A58" s="4">
        <v>43915</v>
      </c>
      <c r="B58" s="5">
        <f t="shared" si="0"/>
        <v>25</v>
      </c>
      <c r="C58" s="5">
        <f t="shared" si="1"/>
        <v>3</v>
      </c>
      <c r="D58" s="5">
        <f t="shared" si="2"/>
        <v>2020</v>
      </c>
      <c r="E58" s="5" t="str">
        <f t="shared" si="3"/>
        <v>Q1</v>
      </c>
      <c r="F58" s="5">
        <v>55.19900131</v>
      </c>
      <c r="G58" s="5">
        <v>56.66650009</v>
      </c>
      <c r="H58" s="5">
        <v>54.321498869999999</v>
      </c>
      <c r="I58" s="5">
        <v>56.500499730000001</v>
      </c>
      <c r="J58" s="5">
        <v>72468000</v>
      </c>
      <c r="K58" s="5">
        <v>56.296424870000003</v>
      </c>
    </row>
    <row r="59" spans="1:11">
      <c r="A59" s="4">
        <v>43916</v>
      </c>
      <c r="B59" s="5">
        <f t="shared" si="0"/>
        <v>26</v>
      </c>
      <c r="C59" s="5">
        <f t="shared" si="1"/>
        <v>3</v>
      </c>
      <c r="D59" s="5">
        <f t="shared" si="2"/>
        <v>2020</v>
      </c>
      <c r="E59" s="5" t="str">
        <f t="shared" si="3"/>
        <v>Q1</v>
      </c>
      <c r="F59" s="5">
        <v>56.22900009</v>
      </c>
      <c r="G59" s="5">
        <v>57.308498380000003</v>
      </c>
      <c r="H59" s="5">
        <v>54.150501249999998</v>
      </c>
      <c r="I59" s="5">
        <v>55.081001280000002</v>
      </c>
      <c r="J59" s="5">
        <v>90324000</v>
      </c>
      <c r="K59" s="5">
        <v>54.882049559999999</v>
      </c>
    </row>
    <row r="60" spans="1:11">
      <c r="A60" s="4">
        <v>43917</v>
      </c>
      <c r="B60" s="5">
        <f t="shared" si="0"/>
        <v>27</v>
      </c>
      <c r="C60" s="5">
        <f t="shared" si="1"/>
        <v>3</v>
      </c>
      <c r="D60" s="5">
        <f t="shared" si="2"/>
        <v>2020</v>
      </c>
      <c r="E60" s="5" t="str">
        <f t="shared" si="3"/>
        <v>Q1</v>
      </c>
      <c r="F60" s="5">
        <v>55.736000060000002</v>
      </c>
      <c r="G60" s="5">
        <v>58.57400131</v>
      </c>
      <c r="H60" s="5">
        <v>54.601501460000001</v>
      </c>
      <c r="I60" s="5">
        <v>58.14599991</v>
      </c>
      <c r="J60" s="5">
        <v>76562000</v>
      </c>
      <c r="K60" s="5">
        <v>57.935977940000001</v>
      </c>
    </row>
    <row r="61" spans="1:11">
      <c r="A61" s="4">
        <v>43920</v>
      </c>
      <c r="B61" s="5">
        <f t="shared" si="0"/>
        <v>30</v>
      </c>
      <c r="C61" s="5">
        <f t="shared" si="1"/>
        <v>3</v>
      </c>
      <c r="D61" s="5">
        <f t="shared" si="2"/>
        <v>2020</v>
      </c>
      <c r="E61" s="5" t="str">
        <f t="shared" si="3"/>
        <v>Q1</v>
      </c>
      <c r="F61" s="5">
        <v>56.373500819999997</v>
      </c>
      <c r="G61" s="5">
        <v>57.552501679999999</v>
      </c>
      <c r="H61" s="5">
        <v>55.200000760000002</v>
      </c>
      <c r="I61" s="5">
        <v>55.513000490000003</v>
      </c>
      <c r="J61" s="5">
        <v>62794000</v>
      </c>
      <c r="K61" s="5">
        <v>55.312488559999998</v>
      </c>
    </row>
    <row r="62" spans="1:11">
      <c r="A62" s="4">
        <v>43921</v>
      </c>
      <c r="B62" s="5">
        <f t="shared" si="0"/>
        <v>31</v>
      </c>
      <c r="C62" s="5">
        <f t="shared" si="1"/>
        <v>3</v>
      </c>
      <c r="D62" s="5">
        <f t="shared" si="2"/>
        <v>2020</v>
      </c>
      <c r="E62" s="5" t="str">
        <f t="shared" si="3"/>
        <v>Q1</v>
      </c>
      <c r="F62" s="5">
        <v>56.631999970000003</v>
      </c>
      <c r="G62" s="5">
        <v>57.549999239999998</v>
      </c>
      <c r="H62" s="5">
        <v>54.924499509999997</v>
      </c>
      <c r="I62" s="5">
        <v>57.315498349999999</v>
      </c>
      <c r="J62" s="5">
        <v>58736000</v>
      </c>
      <c r="K62" s="5">
        <v>57.108474729999998</v>
      </c>
    </row>
    <row r="63" spans="1:11" hidden="1">
      <c r="A63" s="4">
        <v>43922</v>
      </c>
      <c r="B63" s="5">
        <f t="shared" si="0"/>
        <v>1</v>
      </c>
      <c r="C63" s="5">
        <f t="shared" si="1"/>
        <v>4</v>
      </c>
      <c r="D63" s="5">
        <f t="shared" si="2"/>
        <v>2020</v>
      </c>
      <c r="E63" s="5" t="str">
        <f t="shared" si="3"/>
        <v>Q2</v>
      </c>
      <c r="F63" s="5">
        <v>57.436500549999998</v>
      </c>
      <c r="G63" s="5">
        <v>58.66999817</v>
      </c>
      <c r="H63" s="5">
        <v>56.835998539999999</v>
      </c>
      <c r="I63" s="5">
        <v>58.097499849999998</v>
      </c>
      <c r="J63" s="5">
        <v>65228000</v>
      </c>
      <c r="K63" s="5">
        <v>57.887653350000001</v>
      </c>
    </row>
    <row r="64" spans="1:11" hidden="1">
      <c r="A64" s="4">
        <v>43923</v>
      </c>
      <c r="B64" s="5">
        <f t="shared" si="0"/>
        <v>2</v>
      </c>
      <c r="C64" s="5">
        <f t="shared" si="1"/>
        <v>4</v>
      </c>
      <c r="D64" s="5">
        <f t="shared" si="2"/>
        <v>2020</v>
      </c>
      <c r="E64" s="5" t="str">
        <f t="shared" si="3"/>
        <v>Q2</v>
      </c>
      <c r="F64" s="5">
        <v>56.200000760000002</v>
      </c>
      <c r="G64" s="5">
        <v>56.471000670000002</v>
      </c>
      <c r="H64" s="5">
        <v>54.674499509999997</v>
      </c>
      <c r="I64" s="5">
        <v>55.104999540000001</v>
      </c>
      <c r="J64" s="5">
        <v>51970000</v>
      </c>
      <c r="K64" s="5">
        <v>54.90596008</v>
      </c>
    </row>
    <row r="65" spans="1:11" hidden="1">
      <c r="A65" s="4">
        <v>43924</v>
      </c>
      <c r="B65" s="5">
        <f t="shared" si="0"/>
        <v>3</v>
      </c>
      <c r="C65" s="5">
        <f t="shared" si="1"/>
        <v>4</v>
      </c>
      <c r="D65" s="5">
        <f t="shared" si="2"/>
        <v>2020</v>
      </c>
      <c r="E65" s="5" t="str">
        <f t="shared" si="3"/>
        <v>Q2</v>
      </c>
      <c r="F65" s="5">
        <v>55</v>
      </c>
      <c r="G65" s="5">
        <v>56.138500209999997</v>
      </c>
      <c r="H65" s="5">
        <v>54.656501769999998</v>
      </c>
      <c r="I65" s="5">
        <v>55.851501460000001</v>
      </c>
      <c r="J65" s="5">
        <v>56410000</v>
      </c>
      <c r="K65" s="5">
        <v>55.649765010000003</v>
      </c>
    </row>
    <row r="66" spans="1:11" hidden="1">
      <c r="A66" s="4">
        <v>43927</v>
      </c>
      <c r="B66" s="5">
        <f t="shared" ref="B66:B129" si="4">DAY(A66)</f>
        <v>6</v>
      </c>
      <c r="C66" s="5">
        <f t="shared" ref="C66:C129" si="5">MONTH(A66)</f>
        <v>4</v>
      </c>
      <c r="D66" s="5">
        <f t="shared" ref="D66:D129" si="6">YEAR(A66)</f>
        <v>2020</v>
      </c>
      <c r="E66" s="5" t="str">
        <f t="shared" ref="E66:E129" si="7">"Q"&amp;ROUNDUP(MONTH(A66)/3,0)</f>
        <v>Q2</v>
      </c>
      <c r="F66" s="5">
        <v>55.735500340000002</v>
      </c>
      <c r="G66" s="5">
        <v>55.939498899999997</v>
      </c>
      <c r="H66" s="5">
        <v>53.754001619999997</v>
      </c>
      <c r="I66" s="5">
        <v>54.634998320000001</v>
      </c>
      <c r="J66" s="5">
        <v>51374000</v>
      </c>
      <c r="K66" s="5">
        <v>54.437656400000002</v>
      </c>
    </row>
    <row r="67" spans="1:11" hidden="1">
      <c r="A67" s="4">
        <v>43928</v>
      </c>
      <c r="B67" s="5">
        <f t="shared" si="4"/>
        <v>7</v>
      </c>
      <c r="C67" s="5">
        <f t="shared" si="5"/>
        <v>4</v>
      </c>
      <c r="D67" s="5">
        <f t="shared" si="6"/>
        <v>2020</v>
      </c>
      <c r="E67" s="5" t="str">
        <f t="shared" si="7"/>
        <v>Q2</v>
      </c>
      <c r="F67" s="5">
        <v>56.650001529999997</v>
      </c>
      <c r="G67" s="5">
        <v>59.537498470000003</v>
      </c>
      <c r="H67" s="5">
        <v>56.25</v>
      </c>
      <c r="I67" s="5">
        <v>59.159500119999997</v>
      </c>
      <c r="J67" s="5">
        <v>63320000</v>
      </c>
      <c r="K67" s="5">
        <v>58.945819849999999</v>
      </c>
    </row>
    <row r="68" spans="1:11" hidden="1">
      <c r="A68" s="4">
        <v>43929</v>
      </c>
      <c r="B68" s="5">
        <f t="shared" si="4"/>
        <v>8</v>
      </c>
      <c r="C68" s="5">
        <f t="shared" si="5"/>
        <v>4</v>
      </c>
      <c r="D68" s="5">
        <f t="shared" si="6"/>
        <v>2020</v>
      </c>
      <c r="E68" s="5" t="str">
        <f t="shared" si="7"/>
        <v>Q2</v>
      </c>
      <c r="F68" s="5">
        <v>60.850498199999997</v>
      </c>
      <c r="G68" s="5">
        <v>61.039001460000001</v>
      </c>
      <c r="H68" s="5">
        <v>58.862499239999998</v>
      </c>
      <c r="I68" s="5">
        <v>59.127998349999999</v>
      </c>
      <c r="J68" s="5">
        <v>61620000</v>
      </c>
      <c r="K68" s="5">
        <v>58.914428710000003</v>
      </c>
    </row>
    <row r="69" spans="1:11" hidden="1">
      <c r="A69" s="4">
        <v>43930</v>
      </c>
      <c r="B69" s="5">
        <f t="shared" si="4"/>
        <v>9</v>
      </c>
      <c r="C69" s="5">
        <f t="shared" si="5"/>
        <v>4</v>
      </c>
      <c r="D69" s="5">
        <f t="shared" si="6"/>
        <v>2020</v>
      </c>
      <c r="E69" s="5" t="str">
        <f t="shared" si="7"/>
        <v>Q2</v>
      </c>
      <c r="F69" s="5">
        <v>60.15499878</v>
      </c>
      <c r="G69" s="5">
        <v>60.744998930000001</v>
      </c>
      <c r="H69" s="5">
        <v>59.197498320000001</v>
      </c>
      <c r="I69" s="5">
        <v>60.349998470000003</v>
      </c>
      <c r="J69" s="5">
        <v>40334000</v>
      </c>
      <c r="K69" s="5">
        <v>60.13201523</v>
      </c>
    </row>
    <row r="70" spans="1:11" hidden="1">
      <c r="A70" s="4">
        <v>43934</v>
      </c>
      <c r="B70" s="5">
        <f t="shared" si="4"/>
        <v>13</v>
      </c>
      <c r="C70" s="5">
        <f t="shared" si="5"/>
        <v>4</v>
      </c>
      <c r="D70" s="5">
        <f t="shared" si="6"/>
        <v>2020</v>
      </c>
      <c r="E70" s="5" t="str">
        <f t="shared" si="7"/>
        <v>Q2</v>
      </c>
      <c r="F70" s="5">
        <v>60.909000399999996</v>
      </c>
      <c r="G70" s="5">
        <v>61.099498750000002</v>
      </c>
      <c r="H70" s="5">
        <v>59.620998380000003</v>
      </c>
      <c r="I70" s="5">
        <v>60.328498840000002</v>
      </c>
      <c r="J70" s="5">
        <v>54028000</v>
      </c>
      <c r="K70" s="5">
        <v>60.110591890000002</v>
      </c>
    </row>
    <row r="71" spans="1:11" hidden="1">
      <c r="A71" s="4">
        <v>43935</v>
      </c>
      <c r="B71" s="5">
        <f t="shared" si="4"/>
        <v>14</v>
      </c>
      <c r="C71" s="5">
        <f t="shared" si="5"/>
        <v>4</v>
      </c>
      <c r="D71" s="5">
        <f t="shared" si="6"/>
        <v>2020</v>
      </c>
      <c r="E71" s="5" t="str">
        <f t="shared" si="7"/>
        <v>Q2</v>
      </c>
      <c r="F71" s="5">
        <v>60.075000760000002</v>
      </c>
      <c r="G71" s="5">
        <v>60.726001740000001</v>
      </c>
      <c r="H71" s="5">
        <v>59.116500850000001</v>
      </c>
      <c r="I71" s="5">
        <v>60.520500179999999</v>
      </c>
      <c r="J71" s="5">
        <v>38702000</v>
      </c>
      <c r="K71" s="5">
        <v>60.301902769999998</v>
      </c>
    </row>
    <row r="72" spans="1:11" hidden="1">
      <c r="A72" s="4">
        <v>43936</v>
      </c>
      <c r="B72" s="5">
        <f t="shared" si="4"/>
        <v>15</v>
      </c>
      <c r="C72" s="5">
        <f t="shared" si="5"/>
        <v>4</v>
      </c>
      <c r="D72" s="5">
        <f t="shared" si="6"/>
        <v>2020</v>
      </c>
      <c r="E72" s="5" t="str">
        <f t="shared" si="7"/>
        <v>Q2</v>
      </c>
      <c r="F72" s="5">
        <v>61.998500819999997</v>
      </c>
      <c r="G72" s="5">
        <v>63.787498470000003</v>
      </c>
      <c r="H72" s="5">
        <v>61.426998140000002</v>
      </c>
      <c r="I72" s="5">
        <v>63.26150131</v>
      </c>
      <c r="J72" s="5">
        <v>63358000</v>
      </c>
      <c r="K72" s="5">
        <v>63.033004759999997</v>
      </c>
    </row>
    <row r="73" spans="1:11" hidden="1">
      <c r="A73" s="4">
        <v>43937</v>
      </c>
      <c r="B73" s="5">
        <f t="shared" si="4"/>
        <v>16</v>
      </c>
      <c r="C73" s="5">
        <f t="shared" si="5"/>
        <v>4</v>
      </c>
      <c r="D73" s="5">
        <f t="shared" si="6"/>
        <v>2020</v>
      </c>
      <c r="E73" s="5" t="str">
        <f t="shared" si="7"/>
        <v>Q2</v>
      </c>
      <c r="F73" s="5">
        <v>62.325500490000003</v>
      </c>
      <c r="G73" s="5">
        <v>63.755500789999999</v>
      </c>
      <c r="H73" s="5">
        <v>61.700000760000002</v>
      </c>
      <c r="I73" s="5">
        <v>62.865001679999999</v>
      </c>
      <c r="J73" s="5">
        <v>42236000</v>
      </c>
      <c r="K73" s="5">
        <v>62.637935640000002</v>
      </c>
    </row>
    <row r="74" spans="1:11" hidden="1">
      <c r="A74" s="4">
        <v>43938</v>
      </c>
      <c r="B74" s="5">
        <f t="shared" si="4"/>
        <v>17</v>
      </c>
      <c r="C74" s="5">
        <f t="shared" si="5"/>
        <v>4</v>
      </c>
      <c r="D74" s="5">
        <f t="shared" si="6"/>
        <v>2020</v>
      </c>
      <c r="E74" s="5" t="str">
        <f t="shared" si="7"/>
        <v>Q2</v>
      </c>
      <c r="F74" s="5">
        <v>63.356998439999998</v>
      </c>
      <c r="G74" s="5">
        <v>63.667999270000003</v>
      </c>
      <c r="H74" s="5">
        <v>61.909999849999998</v>
      </c>
      <c r="I74" s="5">
        <v>62.871498109999997</v>
      </c>
      <c r="J74" s="5">
        <v>57896000</v>
      </c>
      <c r="K74" s="5">
        <v>62.644409179999997</v>
      </c>
    </row>
    <row r="75" spans="1:11" hidden="1">
      <c r="A75" s="4">
        <v>43941</v>
      </c>
      <c r="B75" s="5">
        <f t="shared" si="4"/>
        <v>20</v>
      </c>
      <c r="C75" s="5">
        <f t="shared" si="5"/>
        <v>4</v>
      </c>
      <c r="D75" s="5">
        <f t="shared" si="6"/>
        <v>2020</v>
      </c>
      <c r="E75" s="5" t="str">
        <f t="shared" si="7"/>
        <v>Q2</v>
      </c>
      <c r="F75" s="5">
        <v>64.084999080000003</v>
      </c>
      <c r="G75" s="5">
        <v>64.5</v>
      </c>
      <c r="H75" s="5">
        <v>63.299999239999998</v>
      </c>
      <c r="I75" s="5">
        <v>63.950000760000002</v>
      </c>
      <c r="J75" s="5">
        <v>51050000</v>
      </c>
      <c r="K75" s="5">
        <v>63.71901321</v>
      </c>
    </row>
    <row r="76" spans="1:11" hidden="1">
      <c r="A76" s="4">
        <v>43942</v>
      </c>
      <c r="B76" s="5">
        <f t="shared" si="4"/>
        <v>21</v>
      </c>
      <c r="C76" s="5">
        <f t="shared" si="5"/>
        <v>4</v>
      </c>
      <c r="D76" s="5">
        <f t="shared" si="6"/>
        <v>2020</v>
      </c>
      <c r="E76" s="5" t="str">
        <f t="shared" si="7"/>
        <v>Q2</v>
      </c>
      <c r="F76" s="5">
        <v>63.494499210000001</v>
      </c>
      <c r="G76" s="5">
        <v>63.840999600000004</v>
      </c>
      <c r="H76" s="5">
        <v>62.821998600000001</v>
      </c>
      <c r="I76" s="5">
        <v>63.057498930000001</v>
      </c>
      <c r="J76" s="5">
        <v>35292000</v>
      </c>
      <c r="K76" s="5">
        <v>62.829734799999997</v>
      </c>
    </row>
    <row r="77" spans="1:11" hidden="1">
      <c r="A77" s="4">
        <v>43943</v>
      </c>
      <c r="B77" s="5">
        <f t="shared" si="4"/>
        <v>22</v>
      </c>
      <c r="C77" s="5">
        <f t="shared" si="5"/>
        <v>4</v>
      </c>
      <c r="D77" s="5">
        <f t="shared" si="6"/>
        <v>2020</v>
      </c>
      <c r="E77" s="5" t="str">
        <f t="shared" si="7"/>
        <v>Q2</v>
      </c>
      <c r="F77" s="5">
        <v>62.135501859999998</v>
      </c>
      <c r="G77" s="5">
        <v>62.5</v>
      </c>
      <c r="H77" s="5">
        <v>60.25</v>
      </c>
      <c r="I77" s="5">
        <v>60.608001710000003</v>
      </c>
      <c r="J77" s="5">
        <v>49648000</v>
      </c>
      <c r="K77" s="5">
        <v>60.38908386</v>
      </c>
    </row>
    <row r="78" spans="1:11" hidden="1">
      <c r="A78" s="4">
        <v>43944</v>
      </c>
      <c r="B78" s="5">
        <f t="shared" si="4"/>
        <v>23</v>
      </c>
      <c r="C78" s="5">
        <f t="shared" si="5"/>
        <v>4</v>
      </c>
      <c r="D78" s="5">
        <f t="shared" si="6"/>
        <v>2020</v>
      </c>
      <c r="E78" s="5" t="str">
        <f t="shared" si="7"/>
        <v>Q2</v>
      </c>
      <c r="F78" s="5">
        <v>62.055500029999997</v>
      </c>
      <c r="G78" s="5">
        <v>63.993999479999999</v>
      </c>
      <c r="H78" s="5">
        <v>61.86000061</v>
      </c>
      <c r="I78" s="5">
        <v>62.920501710000003</v>
      </c>
      <c r="J78" s="5">
        <v>46296000</v>
      </c>
      <c r="K78" s="5">
        <v>62.693233489999997</v>
      </c>
    </row>
    <row r="79" spans="1:11" hidden="1">
      <c r="A79" s="4">
        <v>43945</v>
      </c>
      <c r="B79" s="5">
        <f t="shared" si="4"/>
        <v>24</v>
      </c>
      <c r="C79" s="5">
        <f t="shared" si="5"/>
        <v>4</v>
      </c>
      <c r="D79" s="5">
        <f t="shared" si="6"/>
        <v>2020</v>
      </c>
      <c r="E79" s="5" t="str">
        <f t="shared" si="7"/>
        <v>Q2</v>
      </c>
      <c r="F79" s="5">
        <v>63.286998750000002</v>
      </c>
      <c r="G79" s="5">
        <v>64.40750122</v>
      </c>
      <c r="H79" s="5">
        <v>63.0265007</v>
      </c>
      <c r="I79" s="5">
        <v>63.558498380000003</v>
      </c>
      <c r="J79" s="5">
        <v>34202000</v>
      </c>
      <c r="K79" s="5">
        <v>63.328926090000003</v>
      </c>
    </row>
    <row r="80" spans="1:11" hidden="1">
      <c r="A80" s="4">
        <v>43948</v>
      </c>
      <c r="B80" s="5">
        <f t="shared" si="4"/>
        <v>27</v>
      </c>
      <c r="C80" s="5">
        <f t="shared" si="5"/>
        <v>4</v>
      </c>
      <c r="D80" s="5">
        <f t="shared" si="6"/>
        <v>2020</v>
      </c>
      <c r="E80" s="5" t="str">
        <f t="shared" si="7"/>
        <v>Q2</v>
      </c>
      <c r="F80" s="5">
        <v>62.75</v>
      </c>
      <c r="G80" s="5">
        <v>63.885501859999998</v>
      </c>
      <c r="H80" s="5">
        <v>62.200000760000002</v>
      </c>
      <c r="I80" s="5">
        <v>63.83000183</v>
      </c>
      <c r="J80" s="5">
        <v>37402000</v>
      </c>
      <c r="K80" s="5">
        <v>63.599445340000003</v>
      </c>
    </row>
    <row r="81" spans="1:11" hidden="1">
      <c r="A81" s="4">
        <v>43949</v>
      </c>
      <c r="B81" s="5">
        <f t="shared" si="4"/>
        <v>28</v>
      </c>
      <c r="C81" s="5">
        <f t="shared" si="5"/>
        <v>4</v>
      </c>
      <c r="D81" s="5">
        <f t="shared" si="6"/>
        <v>2020</v>
      </c>
      <c r="E81" s="5" t="str">
        <f t="shared" si="7"/>
        <v>Q2</v>
      </c>
      <c r="F81" s="5">
        <v>64.599998470000003</v>
      </c>
      <c r="G81" s="5">
        <v>64.70500183</v>
      </c>
      <c r="H81" s="5">
        <v>63.252998349999999</v>
      </c>
      <c r="I81" s="5">
        <v>63.542999270000003</v>
      </c>
      <c r="J81" s="5">
        <v>44186000</v>
      </c>
      <c r="K81" s="5">
        <v>63.313480380000001</v>
      </c>
    </row>
    <row r="82" spans="1:11" hidden="1">
      <c r="A82" s="4">
        <v>43950</v>
      </c>
      <c r="B82" s="5">
        <f t="shared" si="4"/>
        <v>29</v>
      </c>
      <c r="C82" s="5">
        <f t="shared" si="5"/>
        <v>4</v>
      </c>
      <c r="D82" s="5">
        <f t="shared" si="6"/>
        <v>2020</v>
      </c>
      <c r="E82" s="5" t="str">
        <f t="shared" si="7"/>
        <v>Q2</v>
      </c>
      <c r="F82" s="5">
        <v>64.160003660000001</v>
      </c>
      <c r="G82" s="5">
        <v>64.237998959999999</v>
      </c>
      <c r="H82" s="5">
        <v>61.519001009999997</v>
      </c>
      <c r="I82" s="5">
        <v>61.629501339999997</v>
      </c>
      <c r="J82" s="5">
        <v>80700000</v>
      </c>
      <c r="K82" s="5">
        <v>61.406894680000001</v>
      </c>
    </row>
    <row r="83" spans="1:11" hidden="1">
      <c r="A83" s="4">
        <v>43951</v>
      </c>
      <c r="B83" s="5">
        <f t="shared" si="4"/>
        <v>30</v>
      </c>
      <c r="C83" s="5">
        <f t="shared" si="5"/>
        <v>4</v>
      </c>
      <c r="D83" s="5">
        <f t="shared" si="6"/>
        <v>2020</v>
      </c>
      <c r="E83" s="5" t="str">
        <f t="shared" si="7"/>
        <v>Q2</v>
      </c>
      <c r="F83" s="5">
        <v>67.25</v>
      </c>
      <c r="G83" s="5">
        <v>68.007499690000003</v>
      </c>
      <c r="H83" s="5">
        <v>66.336502080000002</v>
      </c>
      <c r="I83" s="5">
        <v>67.109001160000005</v>
      </c>
      <c r="J83" s="5">
        <v>108358000</v>
      </c>
      <c r="K83" s="5">
        <v>66.866607669999993</v>
      </c>
    </row>
    <row r="84" spans="1:11" hidden="1">
      <c r="A84" s="4">
        <v>43952</v>
      </c>
      <c r="B84" s="5">
        <f t="shared" si="4"/>
        <v>1</v>
      </c>
      <c r="C84" s="5">
        <f t="shared" si="5"/>
        <v>5</v>
      </c>
      <c r="D84" s="5">
        <f t="shared" si="6"/>
        <v>2020</v>
      </c>
      <c r="E84" s="5" t="str">
        <f t="shared" si="7"/>
        <v>Q2</v>
      </c>
      <c r="F84" s="5">
        <v>66.568000789999999</v>
      </c>
      <c r="G84" s="5">
        <v>67.5</v>
      </c>
      <c r="H84" s="5">
        <v>66.074996949999999</v>
      </c>
      <c r="I84" s="5">
        <v>67.334999080000003</v>
      </c>
      <c r="J84" s="5">
        <v>55842000</v>
      </c>
      <c r="K84" s="5">
        <v>67.091789250000005</v>
      </c>
    </row>
    <row r="85" spans="1:11" hidden="1">
      <c r="A85" s="4">
        <v>43955</v>
      </c>
      <c r="B85" s="5">
        <f t="shared" si="4"/>
        <v>4</v>
      </c>
      <c r="C85" s="5">
        <f t="shared" si="5"/>
        <v>5</v>
      </c>
      <c r="D85" s="5">
        <f t="shared" si="6"/>
        <v>2020</v>
      </c>
      <c r="E85" s="5" t="str">
        <f t="shared" si="7"/>
        <v>Q2</v>
      </c>
      <c r="F85" s="5">
        <v>66.204498290000004</v>
      </c>
      <c r="G85" s="5">
        <v>67.571502690000003</v>
      </c>
      <c r="H85" s="5">
        <v>65.483001709999996</v>
      </c>
      <c r="I85" s="5">
        <v>65.865997309999997</v>
      </c>
      <c r="J85" s="5">
        <v>48872000</v>
      </c>
      <c r="K85" s="5">
        <v>65.628089900000006</v>
      </c>
    </row>
    <row r="86" spans="1:11" hidden="1">
      <c r="A86" s="4">
        <v>43956</v>
      </c>
      <c r="B86" s="5">
        <f t="shared" si="4"/>
        <v>5</v>
      </c>
      <c r="C86" s="5">
        <f t="shared" si="5"/>
        <v>5</v>
      </c>
      <c r="D86" s="5">
        <f t="shared" si="6"/>
        <v>2020</v>
      </c>
      <c r="E86" s="5" t="str">
        <f t="shared" si="7"/>
        <v>Q2</v>
      </c>
      <c r="F86" s="5">
        <v>65.406501770000006</v>
      </c>
      <c r="G86" s="5">
        <v>66.223503109999996</v>
      </c>
      <c r="H86" s="5">
        <v>64.800498959999999</v>
      </c>
      <c r="I86" s="5">
        <v>66.144996640000002</v>
      </c>
      <c r="J86" s="5">
        <v>30806000</v>
      </c>
      <c r="K86" s="5">
        <v>65.906082150000003</v>
      </c>
    </row>
    <row r="87" spans="1:11" hidden="1">
      <c r="A87" s="4">
        <v>43957</v>
      </c>
      <c r="B87" s="5">
        <f t="shared" si="4"/>
        <v>6</v>
      </c>
      <c r="C87" s="5">
        <f t="shared" si="5"/>
        <v>5</v>
      </c>
      <c r="D87" s="5">
        <f t="shared" si="6"/>
        <v>2020</v>
      </c>
      <c r="E87" s="5" t="str">
        <f t="shared" si="7"/>
        <v>Q2</v>
      </c>
      <c r="F87" s="5">
        <v>66.875</v>
      </c>
      <c r="G87" s="5">
        <v>68.550498959999999</v>
      </c>
      <c r="H87" s="5">
        <v>66.751502990000006</v>
      </c>
      <c r="I87" s="5">
        <v>67.450996399999994</v>
      </c>
      <c r="J87" s="5">
        <v>39666000</v>
      </c>
      <c r="K87" s="5">
        <v>67.207359310000001</v>
      </c>
    </row>
    <row r="88" spans="1:11" hidden="1">
      <c r="A88" s="4">
        <v>43958</v>
      </c>
      <c r="B88" s="5">
        <f t="shared" si="4"/>
        <v>7</v>
      </c>
      <c r="C88" s="5">
        <f t="shared" si="5"/>
        <v>5</v>
      </c>
      <c r="D88" s="5">
        <f t="shared" si="6"/>
        <v>2020</v>
      </c>
      <c r="E88" s="5" t="str">
        <f t="shared" si="7"/>
        <v>Q2</v>
      </c>
      <c r="F88" s="5">
        <v>67.900001529999997</v>
      </c>
      <c r="G88" s="5">
        <v>68.434501650000001</v>
      </c>
      <c r="H88" s="5">
        <v>67.256500239999994</v>
      </c>
      <c r="I88" s="5">
        <v>67.271499629999994</v>
      </c>
      <c r="J88" s="5">
        <v>31732000</v>
      </c>
      <c r="K88" s="5">
        <v>67.028518680000005</v>
      </c>
    </row>
    <row r="89" spans="1:11" hidden="1">
      <c r="A89" s="4">
        <v>43959</v>
      </c>
      <c r="B89" s="5">
        <f t="shared" si="4"/>
        <v>8</v>
      </c>
      <c r="C89" s="5">
        <f t="shared" si="5"/>
        <v>5</v>
      </c>
      <c r="D89" s="5">
        <f t="shared" si="6"/>
        <v>2020</v>
      </c>
      <c r="E89" s="5" t="str">
        <f t="shared" si="7"/>
        <v>Q2</v>
      </c>
      <c r="F89" s="5">
        <v>68.065498349999999</v>
      </c>
      <c r="G89" s="5">
        <v>68.800003050000001</v>
      </c>
      <c r="H89" s="5">
        <v>67.626998900000004</v>
      </c>
      <c r="I89" s="5">
        <v>68.463996890000004</v>
      </c>
      <c r="J89" s="5">
        <v>30652000</v>
      </c>
      <c r="K89" s="5">
        <v>68.216705320000003</v>
      </c>
    </row>
    <row r="90" spans="1:11" hidden="1">
      <c r="A90" s="4">
        <v>43962</v>
      </c>
      <c r="B90" s="5">
        <f t="shared" si="4"/>
        <v>11</v>
      </c>
      <c r="C90" s="5">
        <f t="shared" si="5"/>
        <v>5</v>
      </c>
      <c r="D90" s="5">
        <f t="shared" si="6"/>
        <v>2020</v>
      </c>
      <c r="E90" s="5" t="str">
        <f t="shared" si="7"/>
        <v>Q2</v>
      </c>
      <c r="F90" s="5">
        <v>69.091003420000007</v>
      </c>
      <c r="G90" s="5">
        <v>69.832000730000004</v>
      </c>
      <c r="H90" s="5">
        <v>68.60050201</v>
      </c>
      <c r="I90" s="5">
        <v>69.217002870000002</v>
      </c>
      <c r="J90" s="5">
        <v>33326000</v>
      </c>
      <c r="K90" s="5">
        <v>68.966987610000004</v>
      </c>
    </row>
    <row r="91" spans="1:11" hidden="1">
      <c r="A91" s="4">
        <v>43963</v>
      </c>
      <c r="B91" s="5">
        <f t="shared" si="4"/>
        <v>12</v>
      </c>
      <c r="C91" s="5">
        <f t="shared" si="5"/>
        <v>5</v>
      </c>
      <c r="D91" s="5">
        <f t="shared" si="6"/>
        <v>2020</v>
      </c>
      <c r="E91" s="5" t="str">
        <f t="shared" si="7"/>
        <v>Q2</v>
      </c>
      <c r="F91" s="5">
        <v>68.839500430000001</v>
      </c>
      <c r="G91" s="5">
        <v>70.776496890000004</v>
      </c>
      <c r="H91" s="5">
        <v>68.775001529999997</v>
      </c>
      <c r="I91" s="5">
        <v>70.17949677</v>
      </c>
      <c r="J91" s="5">
        <v>32718000</v>
      </c>
      <c r="K91" s="5">
        <v>69.926010129999995</v>
      </c>
    </row>
    <row r="92" spans="1:11" hidden="1">
      <c r="A92" s="4">
        <v>43964</v>
      </c>
      <c r="B92" s="5">
        <f t="shared" si="4"/>
        <v>13</v>
      </c>
      <c r="C92" s="5">
        <f t="shared" si="5"/>
        <v>5</v>
      </c>
      <c r="D92" s="5">
        <f t="shared" si="6"/>
        <v>2020</v>
      </c>
      <c r="E92" s="5" t="str">
        <f t="shared" si="7"/>
        <v>Q2</v>
      </c>
      <c r="F92" s="5">
        <v>70.411003109999996</v>
      </c>
      <c r="G92" s="5">
        <v>70.716499330000005</v>
      </c>
      <c r="H92" s="5">
        <v>68.72550201</v>
      </c>
      <c r="I92" s="5">
        <v>68.759002690000003</v>
      </c>
      <c r="J92" s="5">
        <v>33918000</v>
      </c>
      <c r="K92" s="5">
        <v>68.510650630000001</v>
      </c>
    </row>
    <row r="93" spans="1:11" hidden="1">
      <c r="A93" s="4">
        <v>43965</v>
      </c>
      <c r="B93" s="5">
        <f t="shared" si="4"/>
        <v>14</v>
      </c>
      <c r="C93" s="5">
        <f t="shared" si="5"/>
        <v>5</v>
      </c>
      <c r="D93" s="5">
        <f t="shared" si="6"/>
        <v>2020</v>
      </c>
      <c r="E93" s="5" t="str">
        <f t="shared" si="7"/>
        <v>Q2</v>
      </c>
      <c r="F93" s="5">
        <v>68.807998659999996</v>
      </c>
      <c r="G93" s="5">
        <v>69.266502380000006</v>
      </c>
      <c r="H93" s="5">
        <v>66.400497439999995</v>
      </c>
      <c r="I93" s="5">
        <v>67.416496280000004</v>
      </c>
      <c r="J93" s="5">
        <v>40368000</v>
      </c>
      <c r="K93" s="5">
        <v>67.17298126</v>
      </c>
    </row>
    <row r="94" spans="1:11" hidden="1">
      <c r="A94" s="4">
        <v>43966</v>
      </c>
      <c r="B94" s="5">
        <f t="shared" si="4"/>
        <v>15</v>
      </c>
      <c r="C94" s="5">
        <f t="shared" si="5"/>
        <v>5</v>
      </c>
      <c r="D94" s="5">
        <f t="shared" si="6"/>
        <v>2020</v>
      </c>
      <c r="E94" s="5" t="str">
        <f t="shared" si="7"/>
        <v>Q2</v>
      </c>
      <c r="F94" s="5">
        <v>66.676002499999996</v>
      </c>
      <c r="G94" s="5">
        <v>67.868499760000006</v>
      </c>
      <c r="H94" s="5">
        <v>66.165000919999997</v>
      </c>
      <c r="I94" s="5">
        <v>67.843002319999997</v>
      </c>
      <c r="J94" s="5">
        <v>36660000</v>
      </c>
      <c r="K94" s="5">
        <v>67.59794617</v>
      </c>
    </row>
    <row r="95" spans="1:11" hidden="1">
      <c r="A95" s="4">
        <v>43969</v>
      </c>
      <c r="B95" s="5">
        <f t="shared" si="4"/>
        <v>18</v>
      </c>
      <c r="C95" s="5">
        <f t="shared" si="5"/>
        <v>5</v>
      </c>
      <c r="D95" s="5">
        <f t="shared" si="6"/>
        <v>2020</v>
      </c>
      <c r="E95" s="5" t="str">
        <f t="shared" si="7"/>
        <v>Q2</v>
      </c>
      <c r="F95" s="5">
        <v>67.41300201</v>
      </c>
      <c r="G95" s="5">
        <v>68.728996280000004</v>
      </c>
      <c r="H95" s="5">
        <v>66.949996949999999</v>
      </c>
      <c r="I95" s="5">
        <v>68.652999879999996</v>
      </c>
      <c r="J95" s="5">
        <v>41544000</v>
      </c>
      <c r="K95" s="5">
        <v>68.405029299999995</v>
      </c>
    </row>
    <row r="96" spans="1:11" hidden="1">
      <c r="A96" s="4">
        <v>43970</v>
      </c>
      <c r="B96" s="5">
        <f t="shared" si="4"/>
        <v>19</v>
      </c>
      <c r="C96" s="5">
        <f t="shared" si="5"/>
        <v>5</v>
      </c>
      <c r="D96" s="5">
        <f t="shared" si="6"/>
        <v>2020</v>
      </c>
      <c r="E96" s="5" t="str">
        <f t="shared" si="7"/>
        <v>Q2</v>
      </c>
      <c r="F96" s="5">
        <v>68.079002380000006</v>
      </c>
      <c r="G96" s="5">
        <v>69.638000489999996</v>
      </c>
      <c r="H96" s="5">
        <v>67.709999080000003</v>
      </c>
      <c r="I96" s="5">
        <v>69.259002690000003</v>
      </c>
      <c r="J96" s="5">
        <v>47094000</v>
      </c>
      <c r="K96" s="5">
        <v>69.008842470000005</v>
      </c>
    </row>
    <row r="97" spans="1:11" hidden="1">
      <c r="A97" s="4">
        <v>43971</v>
      </c>
      <c r="B97" s="5">
        <f t="shared" si="4"/>
        <v>20</v>
      </c>
      <c r="C97" s="5">
        <f t="shared" si="5"/>
        <v>5</v>
      </c>
      <c r="D97" s="5">
        <f t="shared" si="6"/>
        <v>2020</v>
      </c>
      <c r="E97" s="5" t="str">
        <f t="shared" si="7"/>
        <v>Q2</v>
      </c>
      <c r="F97" s="5">
        <v>69.274002080000002</v>
      </c>
      <c r="G97" s="5">
        <v>69.624496460000003</v>
      </c>
      <c r="H97" s="5">
        <v>68.688003539999997</v>
      </c>
      <c r="I97" s="5">
        <v>68.72000122</v>
      </c>
      <c r="J97" s="5">
        <v>31586000</v>
      </c>
      <c r="K97" s="5">
        <v>68.471786499999993</v>
      </c>
    </row>
    <row r="98" spans="1:11" hidden="1">
      <c r="A98" s="4">
        <v>43972</v>
      </c>
      <c r="B98" s="5">
        <f t="shared" si="4"/>
        <v>21</v>
      </c>
      <c r="C98" s="5">
        <f t="shared" si="5"/>
        <v>5</v>
      </c>
      <c r="D98" s="5">
        <f t="shared" si="6"/>
        <v>2020</v>
      </c>
      <c r="E98" s="5" t="str">
        <f t="shared" si="7"/>
        <v>Q2</v>
      </c>
      <c r="F98" s="5">
        <v>69.458000179999999</v>
      </c>
      <c r="G98" s="5">
        <v>70.601501459999994</v>
      </c>
      <c r="H98" s="5">
        <v>69.371002200000007</v>
      </c>
      <c r="I98" s="5">
        <v>70.458000179999999</v>
      </c>
      <c r="J98" s="5">
        <v>38262000</v>
      </c>
      <c r="K98" s="5">
        <v>70.203506469999994</v>
      </c>
    </row>
    <row r="99" spans="1:11" hidden="1">
      <c r="A99" s="4">
        <v>43973</v>
      </c>
      <c r="B99" s="5">
        <f t="shared" si="4"/>
        <v>22</v>
      </c>
      <c r="C99" s="5">
        <f t="shared" si="5"/>
        <v>5</v>
      </c>
      <c r="D99" s="5">
        <f t="shared" si="6"/>
        <v>2020</v>
      </c>
      <c r="E99" s="5" t="str">
        <f t="shared" si="7"/>
        <v>Q2</v>
      </c>
      <c r="F99" s="5">
        <v>70.549499510000004</v>
      </c>
      <c r="G99" s="5">
        <v>70.822998049999995</v>
      </c>
      <c r="H99" s="5">
        <v>69.719497680000003</v>
      </c>
      <c r="I99" s="5">
        <v>70.337501529999997</v>
      </c>
      <c r="J99" s="5">
        <v>30894000</v>
      </c>
      <c r="K99" s="5">
        <v>70.083442689999998</v>
      </c>
    </row>
    <row r="100" spans="1:11" hidden="1">
      <c r="A100" s="4">
        <v>43977</v>
      </c>
      <c r="B100" s="5">
        <f t="shared" si="4"/>
        <v>26</v>
      </c>
      <c r="C100" s="5">
        <f t="shared" si="5"/>
        <v>5</v>
      </c>
      <c r="D100" s="5">
        <f t="shared" si="6"/>
        <v>2020</v>
      </c>
      <c r="E100" s="5" t="str">
        <f t="shared" si="7"/>
        <v>Q2</v>
      </c>
      <c r="F100" s="5">
        <v>70.194999690000003</v>
      </c>
      <c r="G100" s="5">
        <v>70.849998470000003</v>
      </c>
      <c r="H100" s="5">
        <v>69.79750061</v>
      </c>
      <c r="I100" s="5">
        <v>70.662002560000005</v>
      </c>
      <c r="J100" s="5">
        <v>28544000</v>
      </c>
      <c r="K100" s="5">
        <v>70.406768799999995</v>
      </c>
    </row>
    <row r="101" spans="1:11" hidden="1">
      <c r="A101" s="4">
        <v>43978</v>
      </c>
      <c r="B101" s="5">
        <f t="shared" si="4"/>
        <v>27</v>
      </c>
      <c r="C101" s="5">
        <f t="shared" si="5"/>
        <v>5</v>
      </c>
      <c r="D101" s="5">
        <f t="shared" si="6"/>
        <v>2020</v>
      </c>
      <c r="E101" s="5" t="str">
        <f t="shared" si="7"/>
        <v>Q2</v>
      </c>
      <c r="F101" s="5">
        <v>72.097999569999999</v>
      </c>
      <c r="G101" s="5">
        <v>72.255500789999999</v>
      </c>
      <c r="H101" s="5">
        <v>70.97000122</v>
      </c>
      <c r="I101" s="5">
        <v>71.068496699999997</v>
      </c>
      <c r="J101" s="5">
        <v>44590000</v>
      </c>
      <c r="K101" s="5">
        <v>70.811798100000004</v>
      </c>
    </row>
    <row r="102" spans="1:11" hidden="1">
      <c r="A102" s="4">
        <v>43979</v>
      </c>
      <c r="B102" s="5">
        <f t="shared" si="4"/>
        <v>28</v>
      </c>
      <c r="C102" s="5">
        <f t="shared" si="5"/>
        <v>5</v>
      </c>
      <c r="D102" s="5">
        <f t="shared" si="6"/>
        <v>2020</v>
      </c>
      <c r="E102" s="5" t="str">
        <f t="shared" si="7"/>
        <v>Q2</v>
      </c>
      <c r="F102" s="5">
        <v>71</v>
      </c>
      <c r="G102" s="5">
        <v>71.26750183</v>
      </c>
      <c r="H102" s="5">
        <v>69.730003359999998</v>
      </c>
      <c r="I102" s="5">
        <v>71.013999940000005</v>
      </c>
      <c r="J102" s="5">
        <v>31684000</v>
      </c>
      <c r="K102" s="5">
        <v>70.757499690000003</v>
      </c>
    </row>
    <row r="103" spans="1:11" hidden="1">
      <c r="A103" s="4">
        <v>43980</v>
      </c>
      <c r="B103" s="5">
        <f t="shared" si="4"/>
        <v>29</v>
      </c>
      <c r="C103" s="5">
        <f t="shared" si="5"/>
        <v>5</v>
      </c>
      <c r="D103" s="5">
        <f t="shared" si="6"/>
        <v>2020</v>
      </c>
      <c r="E103" s="5" t="str">
        <f t="shared" si="7"/>
        <v>Q2</v>
      </c>
      <c r="F103" s="5">
        <v>70</v>
      </c>
      <c r="G103" s="5">
        <v>72.222999569999999</v>
      </c>
      <c r="H103" s="5">
        <v>69.954002380000006</v>
      </c>
      <c r="I103" s="5">
        <v>70.912002560000005</v>
      </c>
      <c r="J103" s="5">
        <v>35170000</v>
      </c>
      <c r="K103" s="5">
        <v>70.655868530000006</v>
      </c>
    </row>
    <row r="104" spans="1:11" hidden="1">
      <c r="A104" s="4">
        <v>43983</v>
      </c>
      <c r="B104" s="5">
        <f t="shared" si="4"/>
        <v>1</v>
      </c>
      <c r="C104" s="5">
        <f t="shared" si="5"/>
        <v>6</v>
      </c>
      <c r="D104" s="5">
        <f t="shared" si="6"/>
        <v>2020</v>
      </c>
      <c r="E104" s="5" t="str">
        <f t="shared" si="7"/>
        <v>Q2</v>
      </c>
      <c r="F104" s="5">
        <v>71.021499629999994</v>
      </c>
      <c r="G104" s="5">
        <v>71.836502080000002</v>
      </c>
      <c r="H104" s="5">
        <v>70.799003600000006</v>
      </c>
      <c r="I104" s="5">
        <v>71.676002499999996</v>
      </c>
      <c r="J104" s="5">
        <v>37044000</v>
      </c>
      <c r="K104" s="5">
        <v>71.417106630000006</v>
      </c>
    </row>
    <row r="105" spans="1:11" hidden="1">
      <c r="A105" s="4">
        <v>43984</v>
      </c>
      <c r="B105" s="5">
        <f t="shared" si="4"/>
        <v>2</v>
      </c>
      <c r="C105" s="5">
        <f t="shared" si="5"/>
        <v>6</v>
      </c>
      <c r="D105" s="5">
        <f t="shared" si="6"/>
        <v>2020</v>
      </c>
      <c r="E105" s="5" t="str">
        <f t="shared" si="7"/>
        <v>Q2</v>
      </c>
      <c r="F105" s="5">
        <v>71.285003660000001</v>
      </c>
      <c r="G105" s="5">
        <v>72.079002380000006</v>
      </c>
      <c r="H105" s="5">
        <v>71.113998409999994</v>
      </c>
      <c r="I105" s="5">
        <v>71.743499760000006</v>
      </c>
      <c r="J105" s="5">
        <v>25162000</v>
      </c>
      <c r="K105" s="5">
        <v>71.484367370000001</v>
      </c>
    </row>
    <row r="106" spans="1:11" hidden="1">
      <c r="A106" s="4">
        <v>43985</v>
      </c>
      <c r="B106" s="5">
        <f t="shared" si="4"/>
        <v>3</v>
      </c>
      <c r="C106" s="5">
        <f t="shared" si="5"/>
        <v>6</v>
      </c>
      <c r="D106" s="5">
        <f t="shared" si="6"/>
        <v>2020</v>
      </c>
      <c r="E106" s="5" t="str">
        <f t="shared" si="7"/>
        <v>Q2</v>
      </c>
      <c r="F106" s="5">
        <v>71.75</v>
      </c>
      <c r="G106" s="5">
        <v>72.150001529999997</v>
      </c>
      <c r="H106" s="5">
        <v>71.080497739999998</v>
      </c>
      <c r="I106" s="5">
        <v>72.115501399999999</v>
      </c>
      <c r="J106" s="5">
        <v>23442000</v>
      </c>
      <c r="K106" s="5">
        <v>71.855018619999996</v>
      </c>
    </row>
    <row r="107" spans="1:11" hidden="1">
      <c r="A107" s="4">
        <v>43986</v>
      </c>
      <c r="B107" s="5">
        <f t="shared" si="4"/>
        <v>4</v>
      </c>
      <c r="C107" s="5">
        <f t="shared" si="5"/>
        <v>6</v>
      </c>
      <c r="D107" s="5">
        <f t="shared" si="6"/>
        <v>2020</v>
      </c>
      <c r="E107" s="5" t="str">
        <f t="shared" si="7"/>
        <v>Q2</v>
      </c>
      <c r="F107" s="5">
        <v>72.135002139999997</v>
      </c>
      <c r="G107" s="5">
        <v>72.450500489999996</v>
      </c>
      <c r="H107" s="5">
        <v>71.581001279999995</v>
      </c>
      <c r="I107" s="5">
        <v>71.962501529999997</v>
      </c>
      <c r="J107" s="5">
        <v>27732000</v>
      </c>
      <c r="K107" s="5">
        <v>71.702575679999995</v>
      </c>
    </row>
    <row r="108" spans="1:11" hidden="1">
      <c r="A108" s="4">
        <v>43987</v>
      </c>
      <c r="B108" s="5">
        <f t="shared" si="4"/>
        <v>5</v>
      </c>
      <c r="C108" s="5">
        <f t="shared" si="5"/>
        <v>6</v>
      </c>
      <c r="D108" s="5">
        <f t="shared" si="6"/>
        <v>2020</v>
      </c>
      <c r="E108" s="5" t="str">
        <f t="shared" si="7"/>
        <v>Q2</v>
      </c>
      <c r="F108" s="5">
        <v>71.838996890000004</v>
      </c>
      <c r="G108" s="5">
        <v>72.066001889999995</v>
      </c>
      <c r="H108" s="5">
        <v>70.300498959999999</v>
      </c>
      <c r="I108" s="5">
        <v>70.714996339999999</v>
      </c>
      <c r="J108" s="5">
        <v>26982000</v>
      </c>
      <c r="K108" s="5">
        <v>70.459571839999995</v>
      </c>
    </row>
    <row r="109" spans="1:11" hidden="1">
      <c r="A109" s="4">
        <v>43990</v>
      </c>
      <c r="B109" s="5">
        <f t="shared" si="4"/>
        <v>8</v>
      </c>
      <c r="C109" s="5">
        <f t="shared" si="5"/>
        <v>6</v>
      </c>
      <c r="D109" s="5">
        <f t="shared" si="6"/>
        <v>2020</v>
      </c>
      <c r="E109" s="5" t="str">
        <f t="shared" si="7"/>
        <v>Q2</v>
      </c>
      <c r="F109" s="5">
        <v>70.781997680000003</v>
      </c>
      <c r="G109" s="5">
        <v>72.315002440000001</v>
      </c>
      <c r="H109" s="5">
        <v>70.380996699999997</v>
      </c>
      <c r="I109" s="5">
        <v>72.000999449999995</v>
      </c>
      <c r="J109" s="5">
        <v>42642000</v>
      </c>
      <c r="K109" s="5">
        <v>71.740928650000001</v>
      </c>
    </row>
    <row r="110" spans="1:11" hidden="1">
      <c r="A110" s="4">
        <v>43991</v>
      </c>
      <c r="B110" s="5">
        <f t="shared" si="4"/>
        <v>9</v>
      </c>
      <c r="C110" s="5">
        <f t="shared" si="5"/>
        <v>6</v>
      </c>
      <c r="D110" s="5">
        <f t="shared" si="6"/>
        <v>2020</v>
      </c>
      <c r="E110" s="5" t="str">
        <f t="shared" si="7"/>
        <v>Q2</v>
      </c>
      <c r="F110" s="5">
        <v>71.314002990000006</v>
      </c>
      <c r="G110" s="5">
        <v>72.449996949999999</v>
      </c>
      <c r="H110" s="5">
        <v>71.223999019999994</v>
      </c>
      <c r="I110" s="5">
        <v>72.402000430000001</v>
      </c>
      <c r="J110" s="5">
        <v>33878000</v>
      </c>
      <c r="K110" s="5">
        <v>72.140487669999999</v>
      </c>
    </row>
    <row r="111" spans="1:11" hidden="1">
      <c r="A111" s="4">
        <v>43992</v>
      </c>
      <c r="B111" s="5">
        <f t="shared" si="4"/>
        <v>10</v>
      </c>
      <c r="C111" s="5">
        <f t="shared" si="5"/>
        <v>6</v>
      </c>
      <c r="D111" s="5">
        <f t="shared" si="6"/>
        <v>2020</v>
      </c>
      <c r="E111" s="5" t="str">
        <f t="shared" si="7"/>
        <v>Q2</v>
      </c>
      <c r="F111" s="5">
        <v>72.262001040000001</v>
      </c>
      <c r="G111" s="5">
        <v>73.38999939</v>
      </c>
      <c r="H111" s="5">
        <v>72.117996219999995</v>
      </c>
      <c r="I111" s="5">
        <v>72.603996280000004</v>
      </c>
      <c r="J111" s="5">
        <v>33624000</v>
      </c>
      <c r="K111" s="5">
        <v>72.341751099999996</v>
      </c>
    </row>
    <row r="112" spans="1:11" hidden="1">
      <c r="A112" s="4">
        <v>43993</v>
      </c>
      <c r="B112" s="5">
        <f t="shared" si="4"/>
        <v>11</v>
      </c>
      <c r="C112" s="5">
        <f t="shared" si="5"/>
        <v>6</v>
      </c>
      <c r="D112" s="5">
        <f t="shared" si="6"/>
        <v>2020</v>
      </c>
      <c r="E112" s="5" t="str">
        <f t="shared" si="7"/>
        <v>Q2</v>
      </c>
      <c r="F112" s="5">
        <v>73.075500489999996</v>
      </c>
      <c r="G112" s="5">
        <v>73.638496399999994</v>
      </c>
      <c r="H112" s="5">
        <v>72.718002319999997</v>
      </c>
      <c r="I112" s="5">
        <v>73.23500061</v>
      </c>
      <c r="J112" s="5">
        <v>31762000</v>
      </c>
      <c r="K112" s="5">
        <v>72.970474240000001</v>
      </c>
    </row>
    <row r="113" spans="1:11" hidden="1">
      <c r="A113" s="4">
        <v>43994</v>
      </c>
      <c r="B113" s="5">
        <f t="shared" si="4"/>
        <v>12</v>
      </c>
      <c r="C113" s="5">
        <f t="shared" si="5"/>
        <v>6</v>
      </c>
      <c r="D113" s="5">
        <f t="shared" si="6"/>
        <v>2020</v>
      </c>
      <c r="E113" s="5" t="str">
        <f t="shared" si="7"/>
        <v>Q2</v>
      </c>
      <c r="F113" s="5">
        <v>72.051498409999994</v>
      </c>
      <c r="G113" s="5">
        <v>72.58000183</v>
      </c>
      <c r="H113" s="5">
        <v>69.920501709999996</v>
      </c>
      <c r="I113" s="5">
        <v>70.09500122</v>
      </c>
      <c r="J113" s="5">
        <v>47144000</v>
      </c>
      <c r="K113" s="5">
        <v>69.841819760000007</v>
      </c>
    </row>
    <row r="114" spans="1:11" hidden="1">
      <c r="A114" s="4">
        <v>43997</v>
      </c>
      <c r="B114" s="5">
        <f t="shared" si="4"/>
        <v>15</v>
      </c>
      <c r="C114" s="5">
        <f t="shared" si="5"/>
        <v>6</v>
      </c>
      <c r="D114" s="5">
        <f t="shared" si="6"/>
        <v>2020</v>
      </c>
      <c r="E114" s="5" t="str">
        <f t="shared" si="7"/>
        <v>Q2</v>
      </c>
      <c r="F114" s="5">
        <v>71.292999269999996</v>
      </c>
      <c r="G114" s="5">
        <v>71.72550201</v>
      </c>
      <c r="H114" s="5">
        <v>69.290000919999997</v>
      </c>
      <c r="I114" s="5">
        <v>70.646003719999996</v>
      </c>
      <c r="J114" s="5">
        <v>36676000</v>
      </c>
      <c r="K114" s="5">
        <v>70.390830989999998</v>
      </c>
    </row>
    <row r="115" spans="1:11" hidden="1">
      <c r="A115" s="4">
        <v>43998</v>
      </c>
      <c r="B115" s="5">
        <f t="shared" si="4"/>
        <v>16</v>
      </c>
      <c r="C115" s="5">
        <f t="shared" si="5"/>
        <v>6</v>
      </c>
      <c r="D115" s="5">
        <f t="shared" si="6"/>
        <v>2020</v>
      </c>
      <c r="E115" s="5" t="str">
        <f t="shared" si="7"/>
        <v>Q2</v>
      </c>
      <c r="F115" s="5">
        <v>69.474502560000005</v>
      </c>
      <c r="G115" s="5">
        <v>71.25</v>
      </c>
      <c r="H115" s="5">
        <v>69.36000061</v>
      </c>
      <c r="I115" s="5">
        <v>71.037002560000005</v>
      </c>
      <c r="J115" s="5">
        <v>30468000</v>
      </c>
      <c r="K115" s="5">
        <v>70.780410770000003</v>
      </c>
    </row>
    <row r="116" spans="1:11" hidden="1">
      <c r="A116" s="4">
        <v>43999</v>
      </c>
      <c r="B116" s="5">
        <f t="shared" si="4"/>
        <v>17</v>
      </c>
      <c r="C116" s="5">
        <f t="shared" si="5"/>
        <v>6</v>
      </c>
      <c r="D116" s="5">
        <f t="shared" si="6"/>
        <v>2020</v>
      </c>
      <c r="E116" s="5" t="str">
        <f t="shared" si="7"/>
        <v>Q2</v>
      </c>
      <c r="F116" s="5">
        <v>72.449996949999999</v>
      </c>
      <c r="G116" s="5">
        <v>72.858497619999994</v>
      </c>
      <c r="H116" s="5">
        <v>71.449501040000001</v>
      </c>
      <c r="I116" s="5">
        <v>72.323501590000006</v>
      </c>
      <c r="J116" s="5">
        <v>30648000</v>
      </c>
      <c r="K116" s="5">
        <v>72.062271120000005</v>
      </c>
    </row>
    <row r="117" spans="1:11" hidden="1">
      <c r="A117" s="4">
        <v>44000</v>
      </c>
      <c r="B117" s="5">
        <f t="shared" si="4"/>
        <v>18</v>
      </c>
      <c r="C117" s="5">
        <f t="shared" si="5"/>
        <v>6</v>
      </c>
      <c r="D117" s="5">
        <f t="shared" si="6"/>
        <v>2020</v>
      </c>
      <c r="E117" s="5" t="str">
        <f t="shared" si="7"/>
        <v>Q2</v>
      </c>
      <c r="F117" s="5">
        <v>72.647003170000005</v>
      </c>
      <c r="G117" s="5">
        <v>73.11000061</v>
      </c>
      <c r="H117" s="5">
        <v>71.756500239999994</v>
      </c>
      <c r="I117" s="5">
        <v>72.626998900000004</v>
      </c>
      <c r="J117" s="5">
        <v>30610000</v>
      </c>
      <c r="K117" s="5">
        <v>72.364669800000001</v>
      </c>
    </row>
    <row r="118" spans="1:11" hidden="1">
      <c r="A118" s="4">
        <v>44001</v>
      </c>
      <c r="B118" s="5">
        <f t="shared" si="4"/>
        <v>19</v>
      </c>
      <c r="C118" s="5">
        <f t="shared" si="5"/>
        <v>6</v>
      </c>
      <c r="D118" s="5">
        <f t="shared" si="6"/>
        <v>2020</v>
      </c>
      <c r="E118" s="5" t="str">
        <f t="shared" si="7"/>
        <v>Q2</v>
      </c>
      <c r="F118" s="5">
        <v>72.492500309999997</v>
      </c>
      <c r="G118" s="5">
        <v>72.648498540000006</v>
      </c>
      <c r="H118" s="5">
        <v>71.311996460000003</v>
      </c>
      <c r="I118" s="5">
        <v>71.706001279999995</v>
      </c>
      <c r="J118" s="5">
        <v>34862000</v>
      </c>
      <c r="K118" s="5">
        <v>71.446998600000001</v>
      </c>
    </row>
    <row r="119" spans="1:11" hidden="1">
      <c r="A119" s="4">
        <v>44004</v>
      </c>
      <c r="B119" s="5">
        <f t="shared" si="4"/>
        <v>22</v>
      </c>
      <c r="C119" s="5">
        <f t="shared" si="5"/>
        <v>6</v>
      </c>
      <c r="D119" s="5">
        <f t="shared" si="6"/>
        <v>2020</v>
      </c>
      <c r="E119" s="5" t="str">
        <f t="shared" si="7"/>
        <v>Q2</v>
      </c>
      <c r="F119" s="5">
        <v>72</v>
      </c>
      <c r="G119" s="5">
        <v>72.224998470000003</v>
      </c>
      <c r="H119" s="5">
        <v>70.949996949999999</v>
      </c>
      <c r="I119" s="5">
        <v>71.232002260000002</v>
      </c>
      <c r="J119" s="5">
        <v>52784000</v>
      </c>
      <c r="K119" s="5">
        <v>70.974708559999996</v>
      </c>
    </row>
    <row r="120" spans="1:11" hidden="1">
      <c r="A120" s="4">
        <v>44005</v>
      </c>
      <c r="B120" s="5">
        <f t="shared" si="4"/>
        <v>23</v>
      </c>
      <c r="C120" s="5">
        <f t="shared" si="5"/>
        <v>6</v>
      </c>
      <c r="D120" s="5">
        <f t="shared" si="6"/>
        <v>2020</v>
      </c>
      <c r="E120" s="5" t="str">
        <f t="shared" si="7"/>
        <v>Q2</v>
      </c>
      <c r="F120" s="5">
        <v>71.250503539999997</v>
      </c>
      <c r="G120" s="5">
        <v>72.54750061</v>
      </c>
      <c r="H120" s="5">
        <v>70.959503170000005</v>
      </c>
      <c r="I120" s="5">
        <v>72.532997129999998</v>
      </c>
      <c r="J120" s="5">
        <v>29442000</v>
      </c>
      <c r="K120" s="5">
        <v>72.271011349999995</v>
      </c>
    </row>
    <row r="121" spans="1:11" hidden="1">
      <c r="A121" s="4">
        <v>44006</v>
      </c>
      <c r="B121" s="5">
        <f t="shared" si="4"/>
        <v>24</v>
      </c>
      <c r="C121" s="5">
        <f t="shared" si="5"/>
        <v>6</v>
      </c>
      <c r="D121" s="5">
        <f t="shared" si="6"/>
        <v>2020</v>
      </c>
      <c r="E121" s="5" t="str">
        <f t="shared" si="7"/>
        <v>Q2</v>
      </c>
      <c r="F121" s="5">
        <v>72.599998470000003</v>
      </c>
      <c r="G121" s="5">
        <v>73.760002139999997</v>
      </c>
      <c r="H121" s="5">
        <v>72.25</v>
      </c>
      <c r="I121" s="5">
        <v>73.198997500000004</v>
      </c>
      <c r="J121" s="5">
        <v>37752000</v>
      </c>
      <c r="K121" s="5">
        <v>72.934600829999994</v>
      </c>
    </row>
    <row r="122" spans="1:11" hidden="1">
      <c r="A122" s="4">
        <v>44007</v>
      </c>
      <c r="B122" s="5">
        <f t="shared" si="4"/>
        <v>25</v>
      </c>
      <c r="C122" s="5">
        <f t="shared" si="5"/>
        <v>6</v>
      </c>
      <c r="D122" s="5">
        <f t="shared" si="6"/>
        <v>2020</v>
      </c>
      <c r="E122" s="5" t="str">
        <f t="shared" si="7"/>
        <v>Q2</v>
      </c>
      <c r="F122" s="5">
        <v>73.164001459999994</v>
      </c>
      <c r="G122" s="5">
        <v>73.78949738</v>
      </c>
      <c r="H122" s="5">
        <v>71.5</v>
      </c>
      <c r="I122" s="5">
        <v>71.635002139999997</v>
      </c>
      <c r="J122" s="5">
        <v>31592000</v>
      </c>
      <c r="K122" s="5">
        <v>71.376258849999999</v>
      </c>
    </row>
    <row r="123" spans="1:11" hidden="1">
      <c r="A123" s="4">
        <v>44008</v>
      </c>
      <c r="B123" s="5">
        <f t="shared" si="4"/>
        <v>26</v>
      </c>
      <c r="C123" s="5">
        <f t="shared" si="5"/>
        <v>6</v>
      </c>
      <c r="D123" s="5">
        <f t="shared" si="6"/>
        <v>2020</v>
      </c>
      <c r="E123" s="5" t="str">
        <f t="shared" si="7"/>
        <v>Q2</v>
      </c>
      <c r="F123" s="5">
        <v>71.560997009999994</v>
      </c>
      <c r="G123" s="5">
        <v>72.115997309999997</v>
      </c>
      <c r="H123" s="5">
        <v>70.97699738</v>
      </c>
      <c r="I123" s="5">
        <v>72.055000309999997</v>
      </c>
      <c r="J123" s="5">
        <v>23958000</v>
      </c>
      <c r="K123" s="5">
        <v>71.794738769999995</v>
      </c>
    </row>
    <row r="124" spans="1:11" hidden="1">
      <c r="A124" s="4">
        <v>44011</v>
      </c>
      <c r="B124" s="5">
        <f t="shared" si="4"/>
        <v>29</v>
      </c>
      <c r="C124" s="5">
        <f t="shared" si="5"/>
        <v>6</v>
      </c>
      <c r="D124" s="5">
        <f t="shared" si="6"/>
        <v>2020</v>
      </c>
      <c r="E124" s="5" t="str">
        <f t="shared" si="7"/>
        <v>Q2</v>
      </c>
      <c r="F124" s="5">
        <v>71.631500239999994</v>
      </c>
      <c r="G124" s="5">
        <v>71.850997919999998</v>
      </c>
      <c r="H124" s="5">
        <v>67.75</v>
      </c>
      <c r="I124" s="5">
        <v>68.126998900000004</v>
      </c>
      <c r="J124" s="5">
        <v>97640000</v>
      </c>
      <c r="K124" s="5">
        <v>67.880928040000001</v>
      </c>
    </row>
    <row r="125" spans="1:11" hidden="1">
      <c r="A125" s="4">
        <v>44012</v>
      </c>
      <c r="B125" s="5">
        <f t="shared" si="4"/>
        <v>30</v>
      </c>
      <c r="C125" s="5">
        <f t="shared" si="5"/>
        <v>6</v>
      </c>
      <c r="D125" s="5">
        <f t="shared" si="6"/>
        <v>2020</v>
      </c>
      <c r="E125" s="5" t="str">
        <f t="shared" si="7"/>
        <v>Q2</v>
      </c>
      <c r="F125" s="5">
        <v>68.016998290000004</v>
      </c>
      <c r="G125" s="5">
        <v>69.900001529999997</v>
      </c>
      <c r="H125" s="5">
        <v>67.582496640000002</v>
      </c>
      <c r="I125" s="5">
        <v>69.858497619999994</v>
      </c>
      <c r="J125" s="5">
        <v>45074000</v>
      </c>
      <c r="K125" s="5">
        <v>69.606170649999996</v>
      </c>
    </row>
    <row r="126" spans="1:11" hidden="1">
      <c r="A126" s="4">
        <v>44013</v>
      </c>
      <c r="B126" s="5">
        <f t="shared" si="4"/>
        <v>1</v>
      </c>
      <c r="C126" s="5">
        <f t="shared" si="5"/>
        <v>7</v>
      </c>
      <c r="D126" s="5">
        <f t="shared" si="6"/>
        <v>2020</v>
      </c>
      <c r="E126" s="5" t="str">
        <f t="shared" si="7"/>
        <v>Q3</v>
      </c>
      <c r="F126" s="5">
        <v>69.844001770000006</v>
      </c>
      <c r="G126" s="5">
        <v>71.199996949999999</v>
      </c>
      <c r="H126" s="5">
        <v>69.346496579999993</v>
      </c>
      <c r="I126" s="5">
        <v>70.902496339999999</v>
      </c>
      <c r="J126" s="5">
        <v>40286000</v>
      </c>
      <c r="K126" s="5">
        <v>70.646400450000002</v>
      </c>
    </row>
    <row r="127" spans="1:11" hidden="1">
      <c r="A127" s="4">
        <v>44014</v>
      </c>
      <c r="B127" s="5">
        <f t="shared" si="4"/>
        <v>2</v>
      </c>
      <c r="C127" s="5">
        <f t="shared" si="5"/>
        <v>7</v>
      </c>
      <c r="D127" s="5">
        <f t="shared" si="6"/>
        <v>2020</v>
      </c>
      <c r="E127" s="5" t="str">
        <f t="shared" si="7"/>
        <v>Q3</v>
      </c>
      <c r="F127" s="5">
        <v>70.958503719999996</v>
      </c>
      <c r="G127" s="5">
        <v>72.424003600000006</v>
      </c>
      <c r="H127" s="5">
        <v>70.708999629999994</v>
      </c>
      <c r="I127" s="5">
        <v>72.099998470000003</v>
      </c>
      <c r="J127" s="5">
        <v>42182000</v>
      </c>
      <c r="K127" s="5">
        <v>71.839576719999997</v>
      </c>
    </row>
    <row r="128" spans="1:11" hidden="1">
      <c r="A128" s="4">
        <v>44018</v>
      </c>
      <c r="B128" s="5">
        <f t="shared" si="4"/>
        <v>6</v>
      </c>
      <c r="C128" s="5">
        <f t="shared" si="5"/>
        <v>7</v>
      </c>
      <c r="D128" s="5">
        <f t="shared" si="6"/>
        <v>2020</v>
      </c>
      <c r="E128" s="5" t="str">
        <f t="shared" si="7"/>
        <v>Q3</v>
      </c>
      <c r="F128" s="5">
        <v>72.592002870000002</v>
      </c>
      <c r="G128" s="5">
        <v>74.426002499999996</v>
      </c>
      <c r="H128" s="5">
        <v>72.553497309999997</v>
      </c>
      <c r="I128" s="5">
        <v>73.496498110000005</v>
      </c>
      <c r="J128" s="5">
        <v>57218000</v>
      </c>
      <c r="K128" s="5">
        <v>73.231033330000002</v>
      </c>
    </row>
    <row r="129" spans="1:11" hidden="1">
      <c r="A129" s="4">
        <v>44019</v>
      </c>
      <c r="B129" s="5">
        <f t="shared" si="4"/>
        <v>7</v>
      </c>
      <c r="C129" s="5">
        <f t="shared" si="5"/>
        <v>7</v>
      </c>
      <c r="D129" s="5">
        <f t="shared" si="6"/>
        <v>2020</v>
      </c>
      <c r="E129" s="5" t="str">
        <f t="shared" si="7"/>
        <v>Q3</v>
      </c>
      <c r="F129" s="5">
        <v>74.40750122</v>
      </c>
      <c r="G129" s="5">
        <v>75.5</v>
      </c>
      <c r="H129" s="5">
        <v>73.848999019999994</v>
      </c>
      <c r="I129" s="5">
        <v>74.98249817</v>
      </c>
      <c r="J129" s="5">
        <v>44712000</v>
      </c>
      <c r="K129" s="5">
        <v>74.711662290000007</v>
      </c>
    </row>
    <row r="130" spans="1:11" hidden="1">
      <c r="A130" s="4">
        <v>44020</v>
      </c>
      <c r="B130" s="5">
        <f t="shared" ref="B130:B193" si="8">DAY(A130)</f>
        <v>8</v>
      </c>
      <c r="C130" s="5">
        <f t="shared" ref="C130:C193" si="9">MONTH(A130)</f>
        <v>7</v>
      </c>
      <c r="D130" s="5">
        <f t="shared" ref="D130:D193" si="10">YEAR(A130)</f>
        <v>2020</v>
      </c>
      <c r="E130" s="5" t="str">
        <f t="shared" ref="E130:E193" si="11">"Q"&amp;ROUNDUP(MONTH(A130)/3,0)</f>
        <v>Q3</v>
      </c>
      <c r="F130" s="5">
        <v>74.806503300000003</v>
      </c>
      <c r="G130" s="5">
        <v>76.066001889999995</v>
      </c>
      <c r="H130" s="5">
        <v>74.48500061</v>
      </c>
      <c r="I130" s="5">
        <v>74.496002200000007</v>
      </c>
      <c r="J130" s="5">
        <v>42364000</v>
      </c>
      <c r="K130" s="5">
        <v>74.226921079999997</v>
      </c>
    </row>
    <row r="131" spans="1:11" hidden="1">
      <c r="A131" s="4">
        <v>44021</v>
      </c>
      <c r="B131" s="5">
        <f t="shared" si="8"/>
        <v>9</v>
      </c>
      <c r="C131" s="5">
        <f t="shared" si="9"/>
        <v>7</v>
      </c>
      <c r="D131" s="5">
        <f t="shared" si="10"/>
        <v>2020</v>
      </c>
      <c r="E131" s="5" t="str">
        <f t="shared" si="11"/>
        <v>Q3</v>
      </c>
      <c r="F131" s="5">
        <v>75.040000919999997</v>
      </c>
      <c r="G131" s="5">
        <v>75.558502200000007</v>
      </c>
      <c r="H131" s="5">
        <v>74.614997860000003</v>
      </c>
      <c r="I131" s="5">
        <v>75.180000309999997</v>
      </c>
      <c r="J131" s="5">
        <v>31766000</v>
      </c>
      <c r="K131" s="5">
        <v>74.908454899999995</v>
      </c>
    </row>
    <row r="132" spans="1:11" hidden="1">
      <c r="A132" s="4">
        <v>44022</v>
      </c>
      <c r="B132" s="5">
        <f t="shared" si="8"/>
        <v>10</v>
      </c>
      <c r="C132" s="5">
        <f t="shared" si="9"/>
        <v>7</v>
      </c>
      <c r="D132" s="5">
        <f t="shared" si="10"/>
        <v>2020</v>
      </c>
      <c r="E132" s="5" t="str">
        <f t="shared" si="11"/>
        <v>Q3</v>
      </c>
      <c r="F132" s="5">
        <v>75.496498110000005</v>
      </c>
      <c r="G132" s="5">
        <v>76.457000730000004</v>
      </c>
      <c r="H132" s="5">
        <v>74.779502870000002</v>
      </c>
      <c r="I132" s="5">
        <v>75.932998659999996</v>
      </c>
      <c r="J132" s="5">
        <v>41836000</v>
      </c>
      <c r="K132" s="5">
        <v>75.658729550000004</v>
      </c>
    </row>
    <row r="133" spans="1:11" hidden="1">
      <c r="A133" s="4">
        <v>44025</v>
      </c>
      <c r="B133" s="5">
        <f t="shared" si="8"/>
        <v>13</v>
      </c>
      <c r="C133" s="5">
        <f t="shared" si="9"/>
        <v>7</v>
      </c>
      <c r="D133" s="5">
        <f t="shared" si="10"/>
        <v>2020</v>
      </c>
      <c r="E133" s="5" t="str">
        <f t="shared" si="11"/>
        <v>Q3</v>
      </c>
      <c r="F133" s="5">
        <v>75.662498470000003</v>
      </c>
      <c r="G133" s="5">
        <v>77.067001340000004</v>
      </c>
      <c r="H133" s="5">
        <v>75.036003109999996</v>
      </c>
      <c r="I133" s="5">
        <v>76.950500489999996</v>
      </c>
      <c r="J133" s="5">
        <v>35918000</v>
      </c>
      <c r="K133" s="5">
        <v>76.672554020000007</v>
      </c>
    </row>
    <row r="134" spans="1:11" hidden="1">
      <c r="A134" s="4">
        <v>44026</v>
      </c>
      <c r="B134" s="5">
        <f t="shared" si="8"/>
        <v>14</v>
      </c>
      <c r="C134" s="5">
        <f t="shared" si="9"/>
        <v>7</v>
      </c>
      <c r="D134" s="5">
        <f t="shared" si="10"/>
        <v>2020</v>
      </c>
      <c r="E134" s="5" t="str">
        <f t="shared" si="11"/>
        <v>Q3</v>
      </c>
      <c r="F134" s="5">
        <v>77.497001650000001</v>
      </c>
      <c r="G134" s="5">
        <v>78.818000789999999</v>
      </c>
      <c r="H134" s="5">
        <v>75.328002929999997</v>
      </c>
      <c r="I134" s="5">
        <v>75.611503600000006</v>
      </c>
      <c r="J134" s="5">
        <v>42954000</v>
      </c>
      <c r="K134" s="5">
        <v>75.338401790000006</v>
      </c>
    </row>
    <row r="135" spans="1:11" hidden="1">
      <c r="A135" s="4">
        <v>44027</v>
      </c>
      <c r="B135" s="5">
        <f t="shared" si="8"/>
        <v>15</v>
      </c>
      <c r="C135" s="5">
        <f t="shared" si="9"/>
        <v>7</v>
      </c>
      <c r="D135" s="5">
        <f t="shared" si="10"/>
        <v>2020</v>
      </c>
      <c r="E135" s="5" t="str">
        <f t="shared" si="11"/>
        <v>Q3</v>
      </c>
      <c r="F135" s="5">
        <v>74.639503480000002</v>
      </c>
      <c r="G135" s="5">
        <v>76.13999939</v>
      </c>
      <c r="H135" s="5">
        <v>74.296501160000005</v>
      </c>
      <c r="I135" s="5">
        <v>76.042999269999996</v>
      </c>
      <c r="J135" s="5">
        <v>38108000</v>
      </c>
      <c r="K135" s="5">
        <v>75.768333440000006</v>
      </c>
    </row>
    <row r="136" spans="1:11" hidden="1">
      <c r="A136" s="4">
        <v>44028</v>
      </c>
      <c r="B136" s="5">
        <f t="shared" si="8"/>
        <v>16</v>
      </c>
      <c r="C136" s="5">
        <f t="shared" si="9"/>
        <v>7</v>
      </c>
      <c r="D136" s="5">
        <f t="shared" si="10"/>
        <v>2020</v>
      </c>
      <c r="E136" s="5" t="str">
        <f t="shared" si="11"/>
        <v>Q3</v>
      </c>
      <c r="F136" s="5">
        <v>76.161499019999994</v>
      </c>
      <c r="G136" s="5">
        <v>76.816497799999993</v>
      </c>
      <c r="H136" s="5">
        <v>74.891502380000006</v>
      </c>
      <c r="I136" s="5">
        <v>75.844001770000006</v>
      </c>
      <c r="J136" s="5">
        <v>31026000</v>
      </c>
      <c r="K136" s="5">
        <v>75.570053099999996</v>
      </c>
    </row>
    <row r="137" spans="1:11" hidden="1">
      <c r="A137" s="4">
        <v>44029</v>
      </c>
      <c r="B137" s="5">
        <f t="shared" si="8"/>
        <v>17</v>
      </c>
      <c r="C137" s="5">
        <f t="shared" si="9"/>
        <v>7</v>
      </c>
      <c r="D137" s="5">
        <f t="shared" si="10"/>
        <v>2020</v>
      </c>
      <c r="E137" s="5" t="str">
        <f t="shared" si="11"/>
        <v>Q3</v>
      </c>
      <c r="F137" s="5">
        <v>75.074996949999999</v>
      </c>
      <c r="G137" s="5">
        <v>75.795501709999996</v>
      </c>
      <c r="H137" s="5">
        <v>74.413497919999998</v>
      </c>
      <c r="I137" s="5">
        <v>75.746002200000007</v>
      </c>
      <c r="J137" s="5">
        <v>26484000</v>
      </c>
      <c r="K137" s="5">
        <v>75.472412109999993</v>
      </c>
    </row>
    <row r="138" spans="1:11" hidden="1">
      <c r="A138" s="4">
        <v>44032</v>
      </c>
      <c r="B138" s="5">
        <f t="shared" si="8"/>
        <v>20</v>
      </c>
      <c r="C138" s="5">
        <f t="shared" si="9"/>
        <v>7</v>
      </c>
      <c r="D138" s="5">
        <f t="shared" si="10"/>
        <v>2020</v>
      </c>
      <c r="E138" s="5" t="str">
        <f t="shared" si="11"/>
        <v>Q3</v>
      </c>
      <c r="F138" s="5">
        <v>75.845497129999998</v>
      </c>
      <c r="G138" s="5">
        <v>76.171501160000005</v>
      </c>
      <c r="H138" s="5">
        <v>74.90499878</v>
      </c>
      <c r="I138" s="5">
        <v>75.84249878</v>
      </c>
      <c r="J138" s="5">
        <v>34264000</v>
      </c>
      <c r="K138" s="5">
        <v>75.568557740000003</v>
      </c>
    </row>
    <row r="139" spans="1:11" hidden="1">
      <c r="A139" s="4">
        <v>44033</v>
      </c>
      <c r="B139" s="5">
        <f t="shared" si="8"/>
        <v>21</v>
      </c>
      <c r="C139" s="5">
        <f t="shared" si="9"/>
        <v>7</v>
      </c>
      <c r="D139" s="5">
        <f t="shared" si="10"/>
        <v>2020</v>
      </c>
      <c r="E139" s="5" t="str">
        <f t="shared" si="11"/>
        <v>Q3</v>
      </c>
      <c r="F139" s="5">
        <v>75.75</v>
      </c>
      <c r="G139" s="5">
        <v>78.450500489999996</v>
      </c>
      <c r="H139" s="5">
        <v>75.135002139999997</v>
      </c>
      <c r="I139" s="5">
        <v>78.192001340000004</v>
      </c>
      <c r="J139" s="5">
        <v>30166000</v>
      </c>
      <c r="K139" s="5">
        <v>77.909576419999993</v>
      </c>
    </row>
    <row r="140" spans="1:11" hidden="1">
      <c r="A140" s="4">
        <v>44034</v>
      </c>
      <c r="B140" s="5">
        <f t="shared" si="8"/>
        <v>22</v>
      </c>
      <c r="C140" s="5">
        <f t="shared" si="9"/>
        <v>7</v>
      </c>
      <c r="D140" s="5">
        <f t="shared" si="10"/>
        <v>2020</v>
      </c>
      <c r="E140" s="5" t="str">
        <f t="shared" si="11"/>
        <v>Q3</v>
      </c>
      <c r="F140" s="5">
        <v>79.251502990000006</v>
      </c>
      <c r="G140" s="5">
        <v>79.352500919999997</v>
      </c>
      <c r="H140" s="5">
        <v>77.630996699999997</v>
      </c>
      <c r="I140" s="5">
        <v>77.795997619999994</v>
      </c>
      <c r="J140" s="5">
        <v>27486000</v>
      </c>
      <c r="K140" s="5">
        <v>77.51499939</v>
      </c>
    </row>
    <row r="141" spans="1:11" hidden="1">
      <c r="A141" s="4">
        <v>44035</v>
      </c>
      <c r="B141" s="5">
        <f t="shared" si="8"/>
        <v>23</v>
      </c>
      <c r="C141" s="5">
        <f t="shared" si="9"/>
        <v>7</v>
      </c>
      <c r="D141" s="5">
        <f t="shared" si="10"/>
        <v>2020</v>
      </c>
      <c r="E141" s="5" t="str">
        <f t="shared" si="11"/>
        <v>Q3</v>
      </c>
      <c r="F141" s="5">
        <v>77.785499569999999</v>
      </c>
      <c r="G141" s="5">
        <v>78.348999019999994</v>
      </c>
      <c r="H141" s="5">
        <v>77.161499019999994</v>
      </c>
      <c r="I141" s="5">
        <v>78.242500309999997</v>
      </c>
      <c r="J141" s="5">
        <v>24482000</v>
      </c>
      <c r="K141" s="5">
        <v>77.959884639999999</v>
      </c>
    </row>
    <row r="142" spans="1:11" hidden="1">
      <c r="A142" s="4">
        <v>44036</v>
      </c>
      <c r="B142" s="5">
        <f t="shared" si="8"/>
        <v>24</v>
      </c>
      <c r="C142" s="5">
        <f t="shared" si="9"/>
        <v>7</v>
      </c>
      <c r="D142" s="5">
        <f t="shared" si="10"/>
        <v>2020</v>
      </c>
      <c r="E142" s="5" t="str">
        <f t="shared" si="11"/>
        <v>Q3</v>
      </c>
      <c r="F142" s="5">
        <v>78.296501160000005</v>
      </c>
      <c r="G142" s="5">
        <v>78.51750183</v>
      </c>
      <c r="H142" s="5">
        <v>75.42949677</v>
      </c>
      <c r="I142" s="5">
        <v>75.837501529999997</v>
      </c>
      <c r="J142" s="5">
        <v>33910000</v>
      </c>
      <c r="K142" s="5">
        <v>75.563575740000005</v>
      </c>
    </row>
    <row r="143" spans="1:11" hidden="1">
      <c r="A143" s="4">
        <v>44039</v>
      </c>
      <c r="B143" s="5">
        <f t="shared" si="8"/>
        <v>27</v>
      </c>
      <c r="C143" s="5">
        <f t="shared" si="9"/>
        <v>7</v>
      </c>
      <c r="D143" s="5">
        <f t="shared" si="10"/>
        <v>2020</v>
      </c>
      <c r="E143" s="5" t="str">
        <f t="shared" si="11"/>
        <v>Q3</v>
      </c>
      <c r="F143" s="5">
        <v>74.959503170000005</v>
      </c>
      <c r="G143" s="5">
        <v>75.771499629999994</v>
      </c>
      <c r="H143" s="5">
        <v>74.379501340000004</v>
      </c>
      <c r="I143" s="5">
        <v>75.410499569999999</v>
      </c>
      <c r="J143" s="5">
        <v>29902000</v>
      </c>
      <c r="K143" s="5">
        <v>75.138122559999999</v>
      </c>
    </row>
    <row r="144" spans="1:11" hidden="1">
      <c r="A144" s="4">
        <v>44040</v>
      </c>
      <c r="B144" s="5">
        <f t="shared" si="8"/>
        <v>28</v>
      </c>
      <c r="C144" s="5">
        <f t="shared" si="9"/>
        <v>7</v>
      </c>
      <c r="D144" s="5">
        <f t="shared" si="10"/>
        <v>2020</v>
      </c>
      <c r="E144" s="5" t="str">
        <f t="shared" si="11"/>
        <v>Q3</v>
      </c>
      <c r="F144" s="5">
        <v>75.66300201</v>
      </c>
      <c r="G144" s="5">
        <v>76.877998349999999</v>
      </c>
      <c r="H144" s="5">
        <v>75.616500849999994</v>
      </c>
      <c r="I144" s="5">
        <v>76.471496579999993</v>
      </c>
      <c r="J144" s="5">
        <v>27124000</v>
      </c>
      <c r="K144" s="5">
        <v>76.195281980000004</v>
      </c>
    </row>
    <row r="145" spans="1:11" hidden="1">
      <c r="A145" s="4">
        <v>44041</v>
      </c>
      <c r="B145" s="5">
        <f t="shared" si="8"/>
        <v>29</v>
      </c>
      <c r="C145" s="5">
        <f t="shared" si="9"/>
        <v>7</v>
      </c>
      <c r="D145" s="5">
        <f t="shared" si="10"/>
        <v>2020</v>
      </c>
      <c r="E145" s="5" t="str">
        <f t="shared" si="11"/>
        <v>Q3</v>
      </c>
      <c r="F145" s="5">
        <v>76.25</v>
      </c>
      <c r="G145" s="5">
        <v>76.300498959999999</v>
      </c>
      <c r="H145" s="5">
        <v>75.026000980000006</v>
      </c>
      <c r="I145" s="5">
        <v>75.182502749999998</v>
      </c>
      <c r="J145" s="5">
        <v>30910000</v>
      </c>
      <c r="K145" s="5">
        <v>74.910942079999998</v>
      </c>
    </row>
    <row r="146" spans="1:11" hidden="1">
      <c r="A146" s="4">
        <v>44042</v>
      </c>
      <c r="B146" s="5">
        <f t="shared" si="8"/>
        <v>30</v>
      </c>
      <c r="C146" s="5">
        <f t="shared" si="9"/>
        <v>7</v>
      </c>
      <c r="D146" s="5">
        <f t="shared" si="10"/>
        <v>2020</v>
      </c>
      <c r="E146" s="5" t="str">
        <f t="shared" si="11"/>
        <v>Q3</v>
      </c>
      <c r="F146" s="5">
        <v>75.25</v>
      </c>
      <c r="G146" s="5">
        <v>76.666496280000004</v>
      </c>
      <c r="H146" s="5">
        <v>75.150497439999995</v>
      </c>
      <c r="I146" s="5">
        <v>76.175498959999999</v>
      </c>
      <c r="J146" s="5">
        <v>22676000</v>
      </c>
      <c r="K146" s="5">
        <v>75.900352479999995</v>
      </c>
    </row>
    <row r="147" spans="1:11" hidden="1">
      <c r="A147" s="4">
        <v>44043</v>
      </c>
      <c r="B147" s="5">
        <f t="shared" si="8"/>
        <v>31</v>
      </c>
      <c r="C147" s="5">
        <f t="shared" si="9"/>
        <v>7</v>
      </c>
      <c r="D147" s="5">
        <f t="shared" si="10"/>
        <v>2020</v>
      </c>
      <c r="E147" s="5" t="str">
        <f t="shared" si="11"/>
        <v>Q3</v>
      </c>
      <c r="F147" s="5">
        <v>74.898498540000006</v>
      </c>
      <c r="G147" s="5">
        <v>77.044502260000002</v>
      </c>
      <c r="H147" s="5">
        <v>74.758499150000006</v>
      </c>
      <c r="I147" s="5">
        <v>76.918502810000007</v>
      </c>
      <c r="J147" s="5">
        <v>36042000</v>
      </c>
      <c r="K147" s="5">
        <v>76.640678410000007</v>
      </c>
    </row>
    <row r="148" spans="1:11" hidden="1">
      <c r="A148" s="4">
        <v>44046</v>
      </c>
      <c r="B148" s="5">
        <f t="shared" si="8"/>
        <v>3</v>
      </c>
      <c r="C148" s="5">
        <f t="shared" si="9"/>
        <v>8</v>
      </c>
      <c r="D148" s="5">
        <f t="shared" si="10"/>
        <v>2020</v>
      </c>
      <c r="E148" s="5" t="str">
        <f t="shared" si="11"/>
        <v>Q3</v>
      </c>
      <c r="F148" s="5">
        <v>74.852500919999997</v>
      </c>
      <c r="G148" s="5">
        <v>75.250999449999995</v>
      </c>
      <c r="H148" s="5">
        <v>72.699996949999999</v>
      </c>
      <c r="I148" s="5">
        <v>74.397499080000003</v>
      </c>
      <c r="J148" s="5">
        <v>91468000</v>
      </c>
      <c r="K148" s="5">
        <v>74.128776549999998</v>
      </c>
    </row>
    <row r="149" spans="1:11" hidden="1">
      <c r="A149" s="4">
        <v>44047</v>
      </c>
      <c r="B149" s="5">
        <f t="shared" si="8"/>
        <v>4</v>
      </c>
      <c r="C149" s="5">
        <f t="shared" si="9"/>
        <v>8</v>
      </c>
      <c r="D149" s="5">
        <f t="shared" si="10"/>
        <v>2020</v>
      </c>
      <c r="E149" s="5" t="str">
        <f t="shared" si="11"/>
        <v>Q3</v>
      </c>
      <c r="F149" s="5">
        <v>74.550003050000001</v>
      </c>
      <c r="G149" s="5">
        <v>74.886497500000004</v>
      </c>
      <c r="H149" s="5">
        <v>73.585998540000006</v>
      </c>
      <c r="I149" s="5">
        <v>74.138000489999996</v>
      </c>
      <c r="J149" s="5">
        <v>45482000</v>
      </c>
      <c r="K149" s="5">
        <v>73.870216369999994</v>
      </c>
    </row>
    <row r="150" spans="1:11" hidden="1">
      <c r="A150" s="4">
        <v>44048</v>
      </c>
      <c r="B150" s="5">
        <f t="shared" si="8"/>
        <v>5</v>
      </c>
      <c r="C150" s="5">
        <f t="shared" si="9"/>
        <v>8</v>
      </c>
      <c r="D150" s="5">
        <f t="shared" si="10"/>
        <v>2020</v>
      </c>
      <c r="E150" s="5" t="str">
        <f t="shared" si="11"/>
        <v>Q3</v>
      </c>
      <c r="F150" s="5">
        <v>74.33550262</v>
      </c>
      <c r="G150" s="5">
        <v>74.655502319999997</v>
      </c>
      <c r="H150" s="5">
        <v>73.201499940000005</v>
      </c>
      <c r="I150" s="5">
        <v>73.665000919999997</v>
      </c>
      <c r="J150" s="5">
        <v>37212000</v>
      </c>
      <c r="K150" s="5">
        <v>73.398925779999999</v>
      </c>
    </row>
    <row r="151" spans="1:11" hidden="1">
      <c r="A151" s="4">
        <v>44049</v>
      </c>
      <c r="B151" s="5">
        <f t="shared" si="8"/>
        <v>6</v>
      </c>
      <c r="C151" s="5">
        <f t="shared" si="9"/>
        <v>8</v>
      </c>
      <c r="D151" s="5">
        <f t="shared" si="10"/>
        <v>2020</v>
      </c>
      <c r="E151" s="5" t="str">
        <f t="shared" si="11"/>
        <v>Q3</v>
      </c>
      <c r="F151" s="5">
        <v>73.841003420000007</v>
      </c>
      <c r="G151" s="5">
        <v>74.5</v>
      </c>
      <c r="H151" s="5">
        <v>73.560997009999994</v>
      </c>
      <c r="I151" s="5">
        <v>73.954498290000004</v>
      </c>
      <c r="J151" s="5">
        <v>29134000</v>
      </c>
      <c r="K151" s="5">
        <v>73.687370299999998</v>
      </c>
    </row>
    <row r="152" spans="1:11" hidden="1">
      <c r="A152" s="4">
        <v>44050</v>
      </c>
      <c r="B152" s="5">
        <f t="shared" si="8"/>
        <v>7</v>
      </c>
      <c r="C152" s="5">
        <f t="shared" si="9"/>
        <v>8</v>
      </c>
      <c r="D152" s="5">
        <f t="shared" si="10"/>
        <v>2020</v>
      </c>
      <c r="E152" s="5" t="str">
        <f t="shared" si="11"/>
        <v>Q3</v>
      </c>
      <c r="F152" s="5">
        <v>73.807502749999998</v>
      </c>
      <c r="G152" s="5">
        <v>75.313499449999995</v>
      </c>
      <c r="H152" s="5">
        <v>73.59500122</v>
      </c>
      <c r="I152" s="5">
        <v>75.247497559999999</v>
      </c>
      <c r="J152" s="5">
        <v>33306000</v>
      </c>
      <c r="K152" s="5">
        <v>74.975700380000006</v>
      </c>
    </row>
    <row r="153" spans="1:11" hidden="1">
      <c r="A153" s="4">
        <v>44053</v>
      </c>
      <c r="B153" s="5">
        <f t="shared" si="8"/>
        <v>10</v>
      </c>
      <c r="C153" s="5">
        <f t="shared" si="9"/>
        <v>8</v>
      </c>
      <c r="D153" s="5">
        <f t="shared" si="10"/>
        <v>2020</v>
      </c>
      <c r="E153" s="5" t="str">
        <f t="shared" si="11"/>
        <v>Q3</v>
      </c>
      <c r="F153" s="5">
        <v>75.452003480000002</v>
      </c>
      <c r="G153" s="5">
        <v>76.004501340000004</v>
      </c>
      <c r="H153" s="5">
        <v>74.313499449999995</v>
      </c>
      <c r="I153" s="5">
        <v>74.918502810000007</v>
      </c>
      <c r="J153" s="5">
        <v>27718000</v>
      </c>
      <c r="K153" s="5">
        <v>74.647903439999993</v>
      </c>
    </row>
    <row r="154" spans="1:11" hidden="1">
      <c r="A154" s="4">
        <v>44054</v>
      </c>
      <c r="B154" s="5">
        <f t="shared" si="8"/>
        <v>11</v>
      </c>
      <c r="C154" s="5">
        <f t="shared" si="9"/>
        <v>8</v>
      </c>
      <c r="D154" s="5">
        <f t="shared" si="10"/>
        <v>2020</v>
      </c>
      <c r="E154" s="5" t="str">
        <f t="shared" si="11"/>
        <v>Q3</v>
      </c>
      <c r="F154" s="5">
        <v>74.540000919999997</v>
      </c>
      <c r="G154" s="5">
        <v>75.35749817</v>
      </c>
      <c r="H154" s="5">
        <v>73.874496460000003</v>
      </c>
      <c r="I154" s="5">
        <v>74.841003420000007</v>
      </c>
      <c r="J154" s="5">
        <v>20546000</v>
      </c>
      <c r="K154" s="5">
        <v>74.570671079999997</v>
      </c>
    </row>
    <row r="155" spans="1:11" hidden="1">
      <c r="A155" s="4">
        <v>44055</v>
      </c>
      <c r="B155" s="5">
        <f t="shared" si="8"/>
        <v>12</v>
      </c>
      <c r="C155" s="5">
        <f t="shared" si="9"/>
        <v>8</v>
      </c>
      <c r="D155" s="5">
        <f t="shared" si="10"/>
        <v>2020</v>
      </c>
      <c r="E155" s="5" t="str">
        <f t="shared" si="11"/>
        <v>Q3</v>
      </c>
      <c r="F155" s="5">
        <v>74.699996949999999</v>
      </c>
      <c r="G155" s="5">
        <v>75.522003170000005</v>
      </c>
      <c r="H155" s="5">
        <v>73.909500120000004</v>
      </c>
      <c r="I155" s="5">
        <v>74.027000430000001</v>
      </c>
      <c r="J155" s="5">
        <v>31098000</v>
      </c>
      <c r="K155" s="5">
        <v>73.759613040000005</v>
      </c>
    </row>
    <row r="156" spans="1:11" hidden="1">
      <c r="A156" s="4">
        <v>44056</v>
      </c>
      <c r="B156" s="5">
        <f t="shared" si="8"/>
        <v>13</v>
      </c>
      <c r="C156" s="5">
        <f t="shared" si="9"/>
        <v>8</v>
      </c>
      <c r="D156" s="5">
        <f t="shared" si="10"/>
        <v>2020</v>
      </c>
      <c r="E156" s="5" t="str">
        <f t="shared" si="11"/>
        <v>Q3</v>
      </c>
      <c r="F156" s="5">
        <v>74.356002810000007</v>
      </c>
      <c r="G156" s="5">
        <v>75.583503719999996</v>
      </c>
      <c r="H156" s="5">
        <v>74.25</v>
      </c>
      <c r="I156" s="5">
        <v>75.361999510000004</v>
      </c>
      <c r="J156" s="5">
        <v>22512000</v>
      </c>
      <c r="K156" s="5">
        <v>75.089790339999993</v>
      </c>
    </row>
    <row r="157" spans="1:11" hidden="1">
      <c r="A157" s="4">
        <v>44057</v>
      </c>
      <c r="B157" s="5">
        <f t="shared" si="8"/>
        <v>14</v>
      </c>
      <c r="C157" s="5">
        <f t="shared" si="9"/>
        <v>8</v>
      </c>
      <c r="D157" s="5">
        <f t="shared" si="10"/>
        <v>2020</v>
      </c>
      <c r="E157" s="5" t="str">
        <f t="shared" si="11"/>
        <v>Q3</v>
      </c>
      <c r="F157" s="5">
        <v>75.410499569999999</v>
      </c>
      <c r="G157" s="5">
        <v>76.848503109999996</v>
      </c>
      <c r="H157" s="5">
        <v>75.410499569999999</v>
      </c>
      <c r="I157" s="5">
        <v>75.832496640000002</v>
      </c>
      <c r="J157" s="5">
        <v>22388000</v>
      </c>
      <c r="K157" s="5">
        <v>75.55859375</v>
      </c>
    </row>
    <row r="158" spans="1:11" hidden="1">
      <c r="A158" s="4">
        <v>44060</v>
      </c>
      <c r="B158" s="5">
        <f t="shared" si="8"/>
        <v>17</v>
      </c>
      <c r="C158" s="5">
        <f t="shared" si="9"/>
        <v>8</v>
      </c>
      <c r="D158" s="5">
        <f t="shared" si="10"/>
        <v>2020</v>
      </c>
      <c r="E158" s="5" t="str">
        <f t="shared" si="11"/>
        <v>Q3</v>
      </c>
      <c r="F158" s="5">
        <v>75.680496219999995</v>
      </c>
      <c r="G158" s="5">
        <v>75.989501950000005</v>
      </c>
      <c r="H158" s="5">
        <v>74.949996949999999</v>
      </c>
      <c r="I158" s="5">
        <v>75.231498720000005</v>
      </c>
      <c r="J158" s="5">
        <v>21942000</v>
      </c>
      <c r="K158" s="5">
        <v>74.959770199999994</v>
      </c>
    </row>
    <row r="159" spans="1:11" hidden="1">
      <c r="A159" s="4">
        <v>44061</v>
      </c>
      <c r="B159" s="5">
        <f t="shared" si="8"/>
        <v>18</v>
      </c>
      <c r="C159" s="5">
        <f t="shared" si="9"/>
        <v>8</v>
      </c>
      <c r="D159" s="5">
        <f t="shared" si="10"/>
        <v>2020</v>
      </c>
      <c r="E159" s="5" t="str">
        <f t="shared" si="11"/>
        <v>Q3</v>
      </c>
      <c r="F159" s="5">
        <v>75.798500059999995</v>
      </c>
      <c r="G159" s="5">
        <v>76.189002990000006</v>
      </c>
      <c r="H159" s="5">
        <v>75.25</v>
      </c>
      <c r="I159" s="5">
        <v>75.811996460000003</v>
      </c>
      <c r="J159" s="5">
        <v>19990000</v>
      </c>
      <c r="K159" s="5">
        <v>75.538169859999996</v>
      </c>
    </row>
    <row r="160" spans="1:11" hidden="1">
      <c r="A160" s="4">
        <v>44062</v>
      </c>
      <c r="B160" s="5">
        <f t="shared" si="8"/>
        <v>19</v>
      </c>
      <c r="C160" s="5">
        <f t="shared" si="9"/>
        <v>8</v>
      </c>
      <c r="D160" s="5">
        <f t="shared" si="10"/>
        <v>2020</v>
      </c>
      <c r="E160" s="5" t="str">
        <f t="shared" si="11"/>
        <v>Q3</v>
      </c>
      <c r="F160" s="5">
        <v>76.305999760000006</v>
      </c>
      <c r="G160" s="5">
        <v>77.868499760000006</v>
      </c>
      <c r="H160" s="5">
        <v>76.083503719999996</v>
      </c>
      <c r="I160" s="5">
        <v>77.789001459999994</v>
      </c>
      <c r="J160" s="5">
        <v>28378000</v>
      </c>
      <c r="K160" s="5">
        <v>77.508026119999997</v>
      </c>
    </row>
    <row r="161" spans="1:11" hidden="1">
      <c r="A161" s="4">
        <v>44063</v>
      </c>
      <c r="B161" s="5">
        <f t="shared" si="8"/>
        <v>20</v>
      </c>
      <c r="C161" s="5">
        <f t="shared" si="9"/>
        <v>8</v>
      </c>
      <c r="D161" s="5">
        <f t="shared" si="10"/>
        <v>2020</v>
      </c>
      <c r="E161" s="5" t="str">
        <f t="shared" si="11"/>
        <v>Q3</v>
      </c>
      <c r="F161" s="5">
        <v>77.624496460000003</v>
      </c>
      <c r="G161" s="5">
        <v>78.443000789999999</v>
      </c>
      <c r="H161" s="5">
        <v>77</v>
      </c>
      <c r="I161" s="5">
        <v>77.230499269999996</v>
      </c>
      <c r="J161" s="5">
        <v>30472000</v>
      </c>
      <c r="K161" s="5">
        <v>76.951545719999999</v>
      </c>
    </row>
    <row r="162" spans="1:11" hidden="1">
      <c r="A162" s="4">
        <v>44064</v>
      </c>
      <c r="B162" s="5">
        <f t="shared" si="8"/>
        <v>21</v>
      </c>
      <c r="C162" s="5">
        <f t="shared" si="9"/>
        <v>8</v>
      </c>
      <c r="D162" s="5">
        <f t="shared" si="10"/>
        <v>2020</v>
      </c>
      <c r="E162" s="5" t="str">
        <f t="shared" si="11"/>
        <v>Q3</v>
      </c>
      <c r="F162" s="5">
        <v>76.998497009999994</v>
      </c>
      <c r="G162" s="5">
        <v>79.008499150000006</v>
      </c>
      <c r="H162" s="5">
        <v>76.722999569999999</v>
      </c>
      <c r="I162" s="5">
        <v>78.8125</v>
      </c>
      <c r="J162" s="5">
        <v>26382000</v>
      </c>
      <c r="K162" s="5">
        <v>78.5278244</v>
      </c>
    </row>
    <row r="163" spans="1:11" hidden="1">
      <c r="A163" s="4">
        <v>44067</v>
      </c>
      <c r="B163" s="5">
        <f t="shared" si="8"/>
        <v>24</v>
      </c>
      <c r="C163" s="5">
        <f t="shared" si="9"/>
        <v>8</v>
      </c>
      <c r="D163" s="5">
        <f t="shared" si="10"/>
        <v>2020</v>
      </c>
      <c r="E163" s="5" t="str">
        <f t="shared" si="11"/>
        <v>Q3</v>
      </c>
      <c r="F163" s="5">
        <v>78.589996339999999</v>
      </c>
      <c r="G163" s="5">
        <v>79.594001770000006</v>
      </c>
      <c r="H163" s="5">
        <v>78.115501399999999</v>
      </c>
      <c r="I163" s="5">
        <v>78.778503420000007</v>
      </c>
      <c r="J163" s="5">
        <v>34838000</v>
      </c>
      <c r="K163" s="5">
        <v>78.493957519999995</v>
      </c>
    </row>
    <row r="164" spans="1:11" hidden="1">
      <c r="A164" s="4">
        <v>44068</v>
      </c>
      <c r="B164" s="5">
        <f t="shared" si="8"/>
        <v>25</v>
      </c>
      <c r="C164" s="5">
        <f t="shared" si="9"/>
        <v>8</v>
      </c>
      <c r="D164" s="5">
        <f t="shared" si="10"/>
        <v>2020</v>
      </c>
      <c r="E164" s="5" t="str">
        <f t="shared" si="11"/>
        <v>Q3</v>
      </c>
      <c r="F164" s="5">
        <v>79.623497009999994</v>
      </c>
      <c r="G164" s="5">
        <v>80.439002990000006</v>
      </c>
      <c r="H164" s="5">
        <v>78.751998900000004</v>
      </c>
      <c r="I164" s="5">
        <v>79.257499690000003</v>
      </c>
      <c r="J164" s="5">
        <v>25638000</v>
      </c>
      <c r="K164" s="5">
        <v>78.971221920000005</v>
      </c>
    </row>
    <row r="165" spans="1:11" hidden="1">
      <c r="A165" s="4">
        <v>44069</v>
      </c>
      <c r="B165" s="5">
        <f t="shared" si="8"/>
        <v>26</v>
      </c>
      <c r="C165" s="5">
        <f t="shared" si="9"/>
        <v>8</v>
      </c>
      <c r="D165" s="5">
        <f t="shared" si="10"/>
        <v>2020</v>
      </c>
      <c r="E165" s="5" t="str">
        <f t="shared" si="11"/>
        <v>Q3</v>
      </c>
      <c r="F165" s="5">
        <v>79.004997250000002</v>
      </c>
      <c r="G165" s="5">
        <v>80.444000239999994</v>
      </c>
      <c r="H165" s="5">
        <v>78.893997189999993</v>
      </c>
      <c r="I165" s="5">
        <v>80.292503359999998</v>
      </c>
      <c r="J165" s="5">
        <v>25150000</v>
      </c>
      <c r="K165" s="5">
        <v>80.002487180000003</v>
      </c>
    </row>
    <row r="166" spans="1:11" hidden="1">
      <c r="A166" s="4">
        <v>44070</v>
      </c>
      <c r="B166" s="5">
        <f t="shared" si="8"/>
        <v>27</v>
      </c>
      <c r="C166" s="5">
        <f t="shared" si="9"/>
        <v>8</v>
      </c>
      <c r="D166" s="5">
        <f t="shared" si="10"/>
        <v>2020</v>
      </c>
      <c r="E166" s="5" t="str">
        <f t="shared" si="11"/>
        <v>Q3</v>
      </c>
      <c r="F166" s="5">
        <v>80.315002440000001</v>
      </c>
      <c r="G166" s="5">
        <v>82.639503480000002</v>
      </c>
      <c r="H166" s="5">
        <v>80.049003600000006</v>
      </c>
      <c r="I166" s="5">
        <v>82.206497189999993</v>
      </c>
      <c r="J166" s="5">
        <v>52188000</v>
      </c>
      <c r="K166" s="5">
        <v>81.909561159999996</v>
      </c>
    </row>
    <row r="167" spans="1:11" hidden="1">
      <c r="A167" s="4">
        <v>44071</v>
      </c>
      <c r="B167" s="5">
        <f t="shared" si="8"/>
        <v>28</v>
      </c>
      <c r="C167" s="5">
        <f t="shared" si="9"/>
        <v>8</v>
      </c>
      <c r="D167" s="5">
        <f t="shared" si="10"/>
        <v>2020</v>
      </c>
      <c r="E167" s="5" t="str">
        <f t="shared" si="11"/>
        <v>Q3</v>
      </c>
      <c r="F167" s="5">
        <v>82.330497739999998</v>
      </c>
      <c r="G167" s="5">
        <v>82.39949799</v>
      </c>
      <c r="H167" s="5">
        <v>80.940498349999999</v>
      </c>
      <c r="I167" s="5">
        <v>81.426002499999996</v>
      </c>
      <c r="J167" s="5">
        <v>31350000</v>
      </c>
      <c r="K167" s="5">
        <v>81.131889340000001</v>
      </c>
    </row>
    <row r="168" spans="1:11" hidden="1">
      <c r="A168" s="4">
        <v>44074</v>
      </c>
      <c r="B168" s="5">
        <f t="shared" si="8"/>
        <v>31</v>
      </c>
      <c r="C168" s="5">
        <f t="shared" si="9"/>
        <v>8</v>
      </c>
      <c r="D168" s="5">
        <f t="shared" si="10"/>
        <v>2020</v>
      </c>
      <c r="E168" s="5" t="str">
        <f t="shared" si="11"/>
        <v>Q3</v>
      </c>
      <c r="F168" s="5">
        <v>81.473503109999996</v>
      </c>
      <c r="G168" s="5">
        <v>82.067497250000002</v>
      </c>
      <c r="H168" s="5">
        <v>81.280502319999997</v>
      </c>
      <c r="I168" s="5">
        <v>81.971496579999993</v>
      </c>
      <c r="J168" s="5">
        <v>22418000</v>
      </c>
      <c r="K168" s="5">
        <v>81.675415040000004</v>
      </c>
    </row>
    <row r="169" spans="1:11" hidden="1">
      <c r="A169" s="4">
        <v>44075</v>
      </c>
      <c r="B169" s="5">
        <f t="shared" si="8"/>
        <v>1</v>
      </c>
      <c r="C169" s="5">
        <f t="shared" si="9"/>
        <v>9</v>
      </c>
      <c r="D169" s="5">
        <f t="shared" si="10"/>
        <v>2020</v>
      </c>
      <c r="E169" s="5" t="str">
        <f t="shared" si="11"/>
        <v>Q3</v>
      </c>
      <c r="F169" s="5">
        <v>82.178497309999997</v>
      </c>
      <c r="G169" s="5">
        <v>82.224998470000003</v>
      </c>
      <c r="H169" s="5">
        <v>81.266502380000006</v>
      </c>
      <c r="I169" s="5">
        <v>81.476501459999994</v>
      </c>
      <c r="J169" s="5">
        <v>26422000</v>
      </c>
      <c r="K169" s="5">
        <v>81.182212829999997</v>
      </c>
    </row>
    <row r="170" spans="1:11" hidden="1">
      <c r="A170" s="4">
        <v>44076</v>
      </c>
      <c r="B170" s="5">
        <f t="shared" si="8"/>
        <v>2</v>
      </c>
      <c r="C170" s="5">
        <f t="shared" si="9"/>
        <v>9</v>
      </c>
      <c r="D170" s="5">
        <f t="shared" si="10"/>
        <v>2020</v>
      </c>
      <c r="E170" s="5" t="str">
        <f t="shared" si="11"/>
        <v>Q3</v>
      </c>
      <c r="F170" s="5">
        <v>81.608001709999996</v>
      </c>
      <c r="G170" s="5">
        <v>82.960998540000006</v>
      </c>
      <c r="H170" s="5">
        <v>81.476501459999994</v>
      </c>
      <c r="I170" s="5">
        <v>82.753997799999993</v>
      </c>
      <c r="J170" s="5">
        <v>22652000</v>
      </c>
      <c r="K170" s="5">
        <v>82.455085749999995</v>
      </c>
    </row>
    <row r="171" spans="1:11" hidden="1">
      <c r="A171" s="4">
        <v>44077</v>
      </c>
      <c r="B171" s="5">
        <f t="shared" si="8"/>
        <v>3</v>
      </c>
      <c r="C171" s="5">
        <f t="shared" si="9"/>
        <v>9</v>
      </c>
      <c r="D171" s="5">
        <f t="shared" si="10"/>
        <v>2020</v>
      </c>
      <c r="E171" s="5" t="str">
        <f t="shared" si="11"/>
        <v>Q3</v>
      </c>
      <c r="F171" s="5">
        <v>83.400497439999995</v>
      </c>
      <c r="G171" s="5">
        <v>86.305000309999997</v>
      </c>
      <c r="H171" s="5">
        <v>83.009498600000001</v>
      </c>
      <c r="I171" s="5">
        <v>85.869499210000001</v>
      </c>
      <c r="J171" s="5">
        <v>49522000</v>
      </c>
      <c r="K171" s="5">
        <v>85.559341430000003</v>
      </c>
    </row>
    <row r="172" spans="1:11" hidden="1">
      <c r="A172" s="4">
        <v>44078</v>
      </c>
      <c r="B172" s="5">
        <f t="shared" si="8"/>
        <v>4</v>
      </c>
      <c r="C172" s="5">
        <f t="shared" si="9"/>
        <v>9</v>
      </c>
      <c r="D172" s="5">
        <f t="shared" si="10"/>
        <v>2020</v>
      </c>
      <c r="E172" s="5" t="str">
        <f t="shared" si="11"/>
        <v>Q3</v>
      </c>
      <c r="F172" s="5">
        <v>84.975997919999998</v>
      </c>
      <c r="G172" s="5">
        <v>85</v>
      </c>
      <c r="H172" s="5">
        <v>80.385498049999995</v>
      </c>
      <c r="I172" s="5">
        <v>81.47550201</v>
      </c>
      <c r="J172" s="5">
        <v>63726000</v>
      </c>
      <c r="K172" s="5">
        <v>81.181213380000003</v>
      </c>
    </row>
    <row r="173" spans="1:11" hidden="1">
      <c r="A173" s="4">
        <v>44082</v>
      </c>
      <c r="B173" s="5">
        <f t="shared" si="8"/>
        <v>8</v>
      </c>
      <c r="C173" s="5">
        <f t="shared" si="9"/>
        <v>9</v>
      </c>
      <c r="D173" s="5">
        <f t="shared" si="10"/>
        <v>2020</v>
      </c>
      <c r="E173" s="5" t="str">
        <f t="shared" si="11"/>
        <v>Q3</v>
      </c>
      <c r="F173" s="5">
        <v>80.449996949999999</v>
      </c>
      <c r="G173" s="5">
        <v>81.749496460000003</v>
      </c>
      <c r="H173" s="5">
        <v>76.898498540000006</v>
      </c>
      <c r="I173" s="5">
        <v>79.060501099999996</v>
      </c>
      <c r="J173" s="5">
        <v>55850000</v>
      </c>
      <c r="K173" s="5">
        <v>78.774932860000007</v>
      </c>
    </row>
    <row r="174" spans="1:11" hidden="1">
      <c r="A174" s="4">
        <v>44083</v>
      </c>
      <c r="B174" s="5">
        <f t="shared" si="8"/>
        <v>9</v>
      </c>
      <c r="C174" s="5">
        <f t="shared" si="9"/>
        <v>9</v>
      </c>
      <c r="D174" s="5">
        <f t="shared" si="10"/>
        <v>2020</v>
      </c>
      <c r="E174" s="5" t="str">
        <f t="shared" si="11"/>
        <v>Q3</v>
      </c>
      <c r="F174" s="5">
        <v>76.25</v>
      </c>
      <c r="G174" s="5">
        <v>77.777496339999999</v>
      </c>
      <c r="H174" s="5">
        <v>75.824996949999999</v>
      </c>
      <c r="I174" s="5">
        <v>76.180000309999997</v>
      </c>
      <c r="J174" s="5">
        <v>54032000</v>
      </c>
      <c r="K174" s="5">
        <v>75.904838560000002</v>
      </c>
    </row>
    <row r="175" spans="1:11" hidden="1">
      <c r="A175" s="4">
        <v>44084</v>
      </c>
      <c r="B175" s="5">
        <f t="shared" si="8"/>
        <v>10</v>
      </c>
      <c r="C175" s="5">
        <f t="shared" si="9"/>
        <v>9</v>
      </c>
      <c r="D175" s="5">
        <f t="shared" si="10"/>
        <v>2020</v>
      </c>
      <c r="E175" s="5" t="str">
        <f t="shared" si="11"/>
        <v>Q3</v>
      </c>
      <c r="F175" s="5">
        <v>77.444999690000003</v>
      </c>
      <c r="G175" s="5">
        <v>77.935997009999994</v>
      </c>
      <c r="H175" s="5">
        <v>76.258499150000006</v>
      </c>
      <c r="I175" s="5">
        <v>77.361503600000006</v>
      </c>
      <c r="J175" s="5">
        <v>39242000</v>
      </c>
      <c r="K175" s="5">
        <v>77.082077029999994</v>
      </c>
    </row>
    <row r="176" spans="1:11" hidden="1">
      <c r="A176" s="4">
        <v>44085</v>
      </c>
      <c r="B176" s="5">
        <f t="shared" si="8"/>
        <v>11</v>
      </c>
      <c r="C176" s="5">
        <f t="shared" si="9"/>
        <v>9</v>
      </c>
      <c r="D176" s="5">
        <f t="shared" si="10"/>
        <v>2020</v>
      </c>
      <c r="E176" s="5" t="str">
        <f t="shared" si="11"/>
        <v>Q3</v>
      </c>
      <c r="F176" s="5">
        <v>77.509002690000003</v>
      </c>
      <c r="G176" s="5">
        <v>78.682998659999996</v>
      </c>
      <c r="H176" s="5">
        <v>76</v>
      </c>
      <c r="I176" s="5">
        <v>76.302497860000003</v>
      </c>
      <c r="J176" s="5">
        <v>33024000</v>
      </c>
      <c r="K176" s="5">
        <v>76.026893619999996</v>
      </c>
    </row>
    <row r="177" spans="1:11" hidden="1">
      <c r="A177" s="4">
        <v>44088</v>
      </c>
      <c r="B177" s="5">
        <f t="shared" si="8"/>
        <v>14</v>
      </c>
      <c r="C177" s="5">
        <f t="shared" si="9"/>
        <v>9</v>
      </c>
      <c r="D177" s="5">
        <f t="shared" si="10"/>
        <v>2020</v>
      </c>
      <c r="E177" s="5" t="str">
        <f t="shared" si="11"/>
        <v>Q3</v>
      </c>
      <c r="F177" s="5">
        <v>76.40750122</v>
      </c>
      <c r="G177" s="5">
        <v>76.934997559999999</v>
      </c>
      <c r="H177" s="5">
        <v>74.651000980000006</v>
      </c>
      <c r="I177" s="5">
        <v>75.78800201</v>
      </c>
      <c r="J177" s="5">
        <v>30706000</v>
      </c>
      <c r="K177" s="5">
        <v>75.514251709999996</v>
      </c>
    </row>
    <row r="178" spans="1:11" hidden="1">
      <c r="A178" s="4">
        <v>44089</v>
      </c>
      <c r="B178" s="5">
        <f t="shared" si="8"/>
        <v>15</v>
      </c>
      <c r="C178" s="5">
        <f t="shared" si="9"/>
        <v>9</v>
      </c>
      <c r="D178" s="5">
        <f t="shared" si="10"/>
        <v>2020</v>
      </c>
      <c r="E178" s="5" t="str">
        <f t="shared" si="11"/>
        <v>Q3</v>
      </c>
      <c r="F178" s="5">
        <v>76.582496640000002</v>
      </c>
      <c r="G178" s="5">
        <v>77.849998470000003</v>
      </c>
      <c r="H178" s="5">
        <v>75.255500789999999</v>
      </c>
      <c r="I178" s="5">
        <v>75.441497799999993</v>
      </c>
      <c r="J178" s="5">
        <v>42660000</v>
      </c>
      <c r="K178" s="5">
        <v>75.168998720000005</v>
      </c>
    </row>
    <row r="179" spans="1:11" hidden="1">
      <c r="A179" s="4">
        <v>44090</v>
      </c>
      <c r="B179" s="5">
        <f t="shared" si="8"/>
        <v>16</v>
      </c>
      <c r="C179" s="5">
        <f t="shared" si="9"/>
        <v>9</v>
      </c>
      <c r="D179" s="5">
        <f t="shared" si="10"/>
        <v>2020</v>
      </c>
      <c r="E179" s="5" t="str">
        <f t="shared" si="11"/>
        <v>Q3</v>
      </c>
      <c r="F179" s="5">
        <v>76.394500730000004</v>
      </c>
      <c r="G179" s="5">
        <v>77.549499510000004</v>
      </c>
      <c r="H179" s="5">
        <v>76.105003359999998</v>
      </c>
      <c r="I179" s="5">
        <v>76.755996699999997</v>
      </c>
      <c r="J179" s="5">
        <v>23042000</v>
      </c>
      <c r="K179" s="5">
        <v>76.478752139999997</v>
      </c>
    </row>
    <row r="180" spans="1:11" hidden="1">
      <c r="A180" s="4">
        <v>44091</v>
      </c>
      <c r="B180" s="5">
        <f t="shared" si="8"/>
        <v>17</v>
      </c>
      <c r="C180" s="5">
        <f t="shared" si="9"/>
        <v>9</v>
      </c>
      <c r="D180" s="5">
        <f t="shared" si="10"/>
        <v>2020</v>
      </c>
      <c r="E180" s="5" t="str">
        <f t="shared" si="11"/>
        <v>Q3</v>
      </c>
      <c r="F180" s="5">
        <v>77.124000550000005</v>
      </c>
      <c r="G180" s="5">
        <v>77.718498229999994</v>
      </c>
      <c r="H180" s="5">
        <v>75.579498290000004</v>
      </c>
      <c r="I180" s="5">
        <v>75.604499820000001</v>
      </c>
      <c r="J180" s="5">
        <v>22128000</v>
      </c>
      <c r="K180" s="5">
        <v>75.331420899999998</v>
      </c>
    </row>
    <row r="181" spans="1:11" hidden="1">
      <c r="A181" s="4">
        <v>44092</v>
      </c>
      <c r="B181" s="5">
        <f t="shared" si="8"/>
        <v>18</v>
      </c>
      <c r="C181" s="5">
        <f t="shared" si="9"/>
        <v>9</v>
      </c>
      <c r="D181" s="5">
        <f t="shared" si="10"/>
        <v>2020</v>
      </c>
      <c r="E181" s="5" t="str">
        <f t="shared" si="11"/>
        <v>Q3</v>
      </c>
      <c r="F181" s="5">
        <v>74.290496829999995</v>
      </c>
      <c r="G181" s="5">
        <v>74.932998659999996</v>
      </c>
      <c r="H181" s="5">
        <v>73.123001099999996</v>
      </c>
      <c r="I181" s="5">
        <v>74.35199738</v>
      </c>
      <c r="J181" s="5">
        <v>40008000</v>
      </c>
      <c r="K181" s="5">
        <v>74.083442689999998</v>
      </c>
    </row>
    <row r="182" spans="1:11" hidden="1">
      <c r="A182" s="4">
        <v>44095</v>
      </c>
      <c r="B182" s="5">
        <f t="shared" si="8"/>
        <v>21</v>
      </c>
      <c r="C182" s="5">
        <f t="shared" si="9"/>
        <v>9</v>
      </c>
      <c r="D182" s="5">
        <f t="shared" si="10"/>
        <v>2020</v>
      </c>
      <c r="E182" s="5" t="str">
        <f t="shared" si="11"/>
        <v>Q3</v>
      </c>
      <c r="F182" s="5">
        <v>74.415000919999997</v>
      </c>
      <c r="G182" s="5">
        <v>74.760002139999997</v>
      </c>
      <c r="H182" s="5">
        <v>71.581001279999995</v>
      </c>
      <c r="I182" s="5">
        <v>72.55449677</v>
      </c>
      <c r="J182" s="5">
        <v>63056000</v>
      </c>
      <c r="K182" s="5">
        <v>72.292427059999994</v>
      </c>
    </row>
    <row r="183" spans="1:11" hidden="1">
      <c r="A183" s="4">
        <v>44096</v>
      </c>
      <c r="B183" s="5">
        <f t="shared" si="8"/>
        <v>22</v>
      </c>
      <c r="C183" s="5">
        <f t="shared" si="9"/>
        <v>9</v>
      </c>
      <c r="D183" s="5">
        <f t="shared" si="10"/>
        <v>2020</v>
      </c>
      <c r="E183" s="5" t="str">
        <f t="shared" si="11"/>
        <v>Q3</v>
      </c>
      <c r="F183" s="5">
        <v>71.581001279999995</v>
      </c>
      <c r="G183" s="5">
        <v>72.002998349999999</v>
      </c>
      <c r="H183" s="5">
        <v>70.134002690000003</v>
      </c>
      <c r="I183" s="5">
        <v>71.507003780000005</v>
      </c>
      <c r="J183" s="5">
        <v>56908000</v>
      </c>
      <c r="K183" s="5">
        <v>71.248725890000003</v>
      </c>
    </row>
    <row r="184" spans="1:11" hidden="1">
      <c r="A184" s="4">
        <v>44097</v>
      </c>
      <c r="B184" s="5">
        <f t="shared" si="8"/>
        <v>23</v>
      </c>
      <c r="C184" s="5">
        <f t="shared" si="9"/>
        <v>9</v>
      </c>
      <c r="D184" s="5">
        <f t="shared" si="10"/>
        <v>2020</v>
      </c>
      <c r="E184" s="5" t="str">
        <f t="shared" si="11"/>
        <v>Q3</v>
      </c>
      <c r="F184" s="5">
        <v>72.515998839999995</v>
      </c>
      <c r="G184" s="5">
        <v>73.198501590000006</v>
      </c>
      <c r="H184" s="5">
        <v>71.474998470000003</v>
      </c>
      <c r="I184" s="5">
        <v>72.990997309999997</v>
      </c>
      <c r="J184" s="5">
        <v>33950000</v>
      </c>
      <c r="K184" s="5">
        <v>72.727355959999997</v>
      </c>
    </row>
    <row r="185" spans="1:11" hidden="1">
      <c r="A185" s="4">
        <v>44098</v>
      </c>
      <c r="B185" s="5">
        <f t="shared" si="8"/>
        <v>24</v>
      </c>
      <c r="C185" s="5">
        <f t="shared" si="9"/>
        <v>9</v>
      </c>
      <c r="D185" s="5">
        <f t="shared" si="10"/>
        <v>2020</v>
      </c>
      <c r="E185" s="5" t="str">
        <f t="shared" si="11"/>
        <v>Q3</v>
      </c>
      <c r="F185" s="5">
        <v>72.604499820000001</v>
      </c>
      <c r="G185" s="5">
        <v>72.653999330000005</v>
      </c>
      <c r="H185" s="5">
        <v>70.134002690000003</v>
      </c>
      <c r="I185" s="5">
        <v>70.469497680000003</v>
      </c>
      <c r="J185" s="5">
        <v>37726000</v>
      </c>
      <c r="K185" s="5">
        <v>70.214965820000003</v>
      </c>
    </row>
    <row r="186" spans="1:11" hidden="1">
      <c r="A186" s="4">
        <v>44099</v>
      </c>
      <c r="B186" s="5">
        <f t="shared" si="8"/>
        <v>25</v>
      </c>
      <c r="C186" s="5">
        <f t="shared" si="9"/>
        <v>9</v>
      </c>
      <c r="D186" s="5">
        <f t="shared" si="10"/>
        <v>2020</v>
      </c>
      <c r="E186" s="5" t="str">
        <f t="shared" si="11"/>
        <v>Q3</v>
      </c>
      <c r="F186" s="5">
        <v>70.134002690000003</v>
      </c>
      <c r="G186" s="5">
        <v>71.89949799</v>
      </c>
      <c r="H186" s="5">
        <v>70.10749817</v>
      </c>
      <c r="I186" s="5">
        <v>71.142997739999998</v>
      </c>
      <c r="J186" s="5">
        <v>34552000</v>
      </c>
      <c r="K186" s="5">
        <v>70.886032099999994</v>
      </c>
    </row>
    <row r="187" spans="1:11" hidden="1">
      <c r="A187" s="4">
        <v>44102</v>
      </c>
      <c r="B187" s="5">
        <f t="shared" si="8"/>
        <v>28</v>
      </c>
      <c r="C187" s="5">
        <f t="shared" si="9"/>
        <v>9</v>
      </c>
      <c r="D187" s="5">
        <f t="shared" si="10"/>
        <v>2020</v>
      </c>
      <c r="E187" s="5" t="str">
        <f t="shared" si="11"/>
        <v>Q3</v>
      </c>
      <c r="F187" s="5">
        <v>71.252502440000001</v>
      </c>
      <c r="G187" s="5">
        <v>72.296997070000003</v>
      </c>
      <c r="H187" s="5">
        <v>70.384002690000003</v>
      </c>
      <c r="I187" s="5">
        <v>71.953002929999997</v>
      </c>
      <c r="J187" s="5">
        <v>30326000</v>
      </c>
      <c r="K187" s="5">
        <v>71.693107600000005</v>
      </c>
    </row>
    <row r="188" spans="1:11" hidden="1">
      <c r="A188" s="4">
        <v>44103</v>
      </c>
      <c r="B188" s="5">
        <f t="shared" si="8"/>
        <v>29</v>
      </c>
      <c r="C188" s="5">
        <f t="shared" si="9"/>
        <v>9</v>
      </c>
      <c r="D188" s="5">
        <f t="shared" si="10"/>
        <v>2020</v>
      </c>
      <c r="E188" s="5" t="str">
        <f t="shared" si="11"/>
        <v>Q3</v>
      </c>
      <c r="F188" s="5">
        <v>73.599502560000005</v>
      </c>
      <c r="G188" s="5">
        <v>73.64949799</v>
      </c>
      <c r="H188" s="5">
        <v>72.314002990000006</v>
      </c>
      <c r="I188" s="5">
        <v>72.932998659999996</v>
      </c>
      <c r="J188" s="5">
        <v>30784000</v>
      </c>
      <c r="K188" s="5">
        <v>72.669563289999999</v>
      </c>
    </row>
    <row r="189" spans="1:11" hidden="1">
      <c r="A189" s="4">
        <v>44104</v>
      </c>
      <c r="B189" s="5">
        <f t="shared" si="8"/>
        <v>30</v>
      </c>
      <c r="C189" s="5">
        <f t="shared" si="9"/>
        <v>9</v>
      </c>
      <c r="D189" s="5">
        <f t="shared" si="10"/>
        <v>2020</v>
      </c>
      <c r="E189" s="5" t="str">
        <f t="shared" si="11"/>
        <v>Q3</v>
      </c>
      <c r="F189" s="5">
        <v>73.19550323</v>
      </c>
      <c r="G189" s="5">
        <v>73.599998470000003</v>
      </c>
      <c r="H189" s="5">
        <v>72.699996949999999</v>
      </c>
      <c r="I189" s="5">
        <v>73.301002499999996</v>
      </c>
      <c r="J189" s="5">
        <v>31816000</v>
      </c>
      <c r="K189" s="5">
        <v>73.036239620000003</v>
      </c>
    </row>
    <row r="190" spans="1:11" hidden="1">
      <c r="A190" s="4">
        <v>44105</v>
      </c>
      <c r="B190" s="5">
        <f t="shared" si="8"/>
        <v>1</v>
      </c>
      <c r="C190" s="5">
        <f t="shared" si="9"/>
        <v>10</v>
      </c>
      <c r="D190" s="5">
        <f t="shared" si="10"/>
        <v>2020</v>
      </c>
      <c r="E190" s="5" t="str">
        <f t="shared" si="11"/>
        <v>Q4</v>
      </c>
      <c r="F190" s="5">
        <v>73.046997070000003</v>
      </c>
      <c r="G190" s="5">
        <v>74.309997559999999</v>
      </c>
      <c r="H190" s="5">
        <v>72.78800201</v>
      </c>
      <c r="I190" s="5">
        <v>73.27999878</v>
      </c>
      <c r="J190" s="5">
        <v>40924000</v>
      </c>
      <c r="K190" s="5">
        <v>73.015312190000003</v>
      </c>
    </row>
    <row r="191" spans="1:11" hidden="1">
      <c r="A191" s="4">
        <v>44106</v>
      </c>
      <c r="B191" s="5">
        <f t="shared" si="8"/>
        <v>2</v>
      </c>
      <c r="C191" s="5">
        <f t="shared" si="9"/>
        <v>10</v>
      </c>
      <c r="D191" s="5">
        <f t="shared" si="10"/>
        <v>2020</v>
      </c>
      <c r="E191" s="5" t="str">
        <f t="shared" si="11"/>
        <v>Q4</v>
      </c>
      <c r="F191" s="5">
        <v>74.182998659999996</v>
      </c>
      <c r="G191" s="5">
        <v>74.753501889999995</v>
      </c>
      <c r="H191" s="5">
        <v>73.839996339999999</v>
      </c>
      <c r="I191" s="5">
        <v>74.394996640000002</v>
      </c>
      <c r="J191" s="5">
        <v>32884000</v>
      </c>
      <c r="K191" s="5">
        <v>74.126281739999996</v>
      </c>
    </row>
    <row r="192" spans="1:11" hidden="1">
      <c r="A192" s="4">
        <v>44109</v>
      </c>
      <c r="B192" s="5">
        <f t="shared" si="8"/>
        <v>5</v>
      </c>
      <c r="C192" s="5">
        <f t="shared" si="9"/>
        <v>10</v>
      </c>
      <c r="D192" s="5">
        <f t="shared" si="10"/>
        <v>2020</v>
      </c>
      <c r="E192" s="5" t="str">
        <f t="shared" si="11"/>
        <v>Q4</v>
      </c>
      <c r="F192" s="5">
        <v>72.981498720000005</v>
      </c>
      <c r="G192" s="5">
        <v>73.951499940000005</v>
      </c>
      <c r="H192" s="5">
        <v>72.367500309999997</v>
      </c>
      <c r="I192" s="5">
        <v>72.77999878</v>
      </c>
      <c r="J192" s="5">
        <v>31222000</v>
      </c>
      <c r="K192" s="5">
        <v>72.517120360000007</v>
      </c>
    </row>
    <row r="193" spans="1:11" hidden="1">
      <c r="A193" s="4">
        <v>44110</v>
      </c>
      <c r="B193" s="5">
        <f t="shared" si="8"/>
        <v>6</v>
      </c>
      <c r="C193" s="5">
        <f t="shared" si="9"/>
        <v>10</v>
      </c>
      <c r="D193" s="5">
        <f t="shared" si="10"/>
        <v>2020</v>
      </c>
      <c r="E193" s="5" t="str">
        <f t="shared" si="11"/>
        <v>Q4</v>
      </c>
      <c r="F193" s="5">
        <v>73.132499690000003</v>
      </c>
      <c r="G193" s="5">
        <v>74.23500061</v>
      </c>
      <c r="H193" s="5">
        <v>73.004501340000004</v>
      </c>
      <c r="I193" s="5">
        <v>74.141502380000006</v>
      </c>
      <c r="J193" s="5">
        <v>21602000</v>
      </c>
      <c r="K193" s="5">
        <v>73.873703000000006</v>
      </c>
    </row>
    <row r="194" spans="1:11" hidden="1">
      <c r="A194" s="4">
        <v>44111</v>
      </c>
      <c r="B194" s="5">
        <f t="shared" ref="B194:B257" si="12">DAY(A194)</f>
        <v>7</v>
      </c>
      <c r="C194" s="5">
        <f t="shared" ref="C194:C257" si="13">MONTH(A194)</f>
        <v>10</v>
      </c>
      <c r="D194" s="5">
        <f t="shared" ref="D194:D257" si="14">YEAR(A194)</f>
        <v>2020</v>
      </c>
      <c r="E194" s="5" t="str">
        <f t="shared" ref="E194:E257" si="15">"Q"&amp;ROUNDUP(MONTH(A194)/3,0)</f>
        <v>Q4</v>
      </c>
      <c r="F194" s="5">
        <v>73.775001529999997</v>
      </c>
      <c r="G194" s="5">
        <v>74.225997919999998</v>
      </c>
      <c r="H194" s="5">
        <v>72.250503539999997</v>
      </c>
      <c r="I194" s="5">
        <v>72.551002499999996</v>
      </c>
      <c r="J194" s="5">
        <v>26096000</v>
      </c>
      <c r="K194" s="5">
        <v>72.288955689999995</v>
      </c>
    </row>
    <row r="195" spans="1:11" hidden="1">
      <c r="A195" s="4">
        <v>44112</v>
      </c>
      <c r="B195" s="5">
        <f t="shared" si="12"/>
        <v>8</v>
      </c>
      <c r="C195" s="5">
        <f t="shared" si="13"/>
        <v>10</v>
      </c>
      <c r="D195" s="5">
        <f t="shared" si="14"/>
        <v>2020</v>
      </c>
      <c r="E195" s="5" t="str">
        <f t="shared" si="15"/>
        <v>Q4</v>
      </c>
      <c r="F195" s="5">
        <v>72.965499879999996</v>
      </c>
      <c r="G195" s="5">
        <v>73.448501590000006</v>
      </c>
      <c r="H195" s="5">
        <v>71.661499019999994</v>
      </c>
      <c r="I195" s="5">
        <v>72.957000730000004</v>
      </c>
      <c r="J195" s="5">
        <v>36108000</v>
      </c>
      <c r="K195" s="5">
        <v>72.693481449999993</v>
      </c>
    </row>
    <row r="196" spans="1:11" hidden="1">
      <c r="A196" s="4">
        <v>44113</v>
      </c>
      <c r="B196" s="5">
        <f t="shared" si="12"/>
        <v>9</v>
      </c>
      <c r="C196" s="5">
        <f t="shared" si="13"/>
        <v>10</v>
      </c>
      <c r="D196" s="5">
        <f t="shared" si="14"/>
        <v>2020</v>
      </c>
      <c r="E196" s="5" t="str">
        <f t="shared" si="15"/>
        <v>Q4</v>
      </c>
      <c r="F196" s="5">
        <v>73.272499080000003</v>
      </c>
      <c r="G196" s="5">
        <v>74.401496890000004</v>
      </c>
      <c r="H196" s="5">
        <v>73.272499080000003</v>
      </c>
      <c r="I196" s="5">
        <v>74.171501160000005</v>
      </c>
      <c r="J196" s="5">
        <v>26076000</v>
      </c>
      <c r="K196" s="5">
        <v>73.903602599999999</v>
      </c>
    </row>
    <row r="197" spans="1:11" hidden="1">
      <c r="A197" s="4">
        <v>44116</v>
      </c>
      <c r="B197" s="5">
        <f t="shared" si="12"/>
        <v>12</v>
      </c>
      <c r="C197" s="5">
        <f t="shared" si="13"/>
        <v>10</v>
      </c>
      <c r="D197" s="5">
        <f t="shared" si="14"/>
        <v>2020</v>
      </c>
      <c r="E197" s="5" t="str">
        <f t="shared" si="15"/>
        <v>Q4</v>
      </c>
      <c r="F197" s="5">
        <v>74.642997739999998</v>
      </c>
      <c r="G197" s="5">
        <v>75.59249878</v>
      </c>
      <c r="H197" s="5">
        <v>74.349998470000003</v>
      </c>
      <c r="I197" s="5">
        <v>75.522499080000003</v>
      </c>
      <c r="J197" s="5">
        <v>32966000</v>
      </c>
      <c r="K197" s="5">
        <v>75.24971008</v>
      </c>
    </row>
    <row r="198" spans="1:11" hidden="1">
      <c r="A198" s="4">
        <v>44117</v>
      </c>
      <c r="B198" s="5">
        <f t="shared" si="12"/>
        <v>13</v>
      </c>
      <c r="C198" s="5">
        <f t="shared" si="13"/>
        <v>10</v>
      </c>
      <c r="D198" s="5">
        <f t="shared" si="14"/>
        <v>2020</v>
      </c>
      <c r="E198" s="5" t="str">
        <f t="shared" si="15"/>
        <v>Q4</v>
      </c>
      <c r="F198" s="5">
        <v>76.900001529999997</v>
      </c>
      <c r="G198" s="5">
        <v>79.420997619999994</v>
      </c>
      <c r="H198" s="5">
        <v>76.464996339999999</v>
      </c>
      <c r="I198" s="5">
        <v>78.229499820000001</v>
      </c>
      <c r="J198" s="5">
        <v>55344000</v>
      </c>
      <c r="K198" s="5">
        <v>77.946929929999996</v>
      </c>
    </row>
    <row r="199" spans="1:11" hidden="1">
      <c r="A199" s="4">
        <v>44118</v>
      </c>
      <c r="B199" s="5">
        <f t="shared" si="12"/>
        <v>14</v>
      </c>
      <c r="C199" s="5">
        <f t="shared" si="13"/>
        <v>10</v>
      </c>
      <c r="D199" s="5">
        <f t="shared" si="14"/>
        <v>2020</v>
      </c>
      <c r="E199" s="5" t="str">
        <f t="shared" si="15"/>
        <v>Q4</v>
      </c>
      <c r="F199" s="5">
        <v>78.85050201</v>
      </c>
      <c r="G199" s="5">
        <v>79.25800323</v>
      </c>
      <c r="H199" s="5">
        <v>77.931503300000003</v>
      </c>
      <c r="I199" s="5">
        <v>78.353500370000006</v>
      </c>
      <c r="J199" s="5">
        <v>39072000</v>
      </c>
      <c r="K199" s="5">
        <v>78.070487979999996</v>
      </c>
    </row>
    <row r="200" spans="1:11" hidden="1">
      <c r="A200" s="4">
        <v>44119</v>
      </c>
      <c r="B200" s="5">
        <f t="shared" si="12"/>
        <v>15</v>
      </c>
      <c r="C200" s="5">
        <f t="shared" si="13"/>
        <v>10</v>
      </c>
      <c r="D200" s="5">
        <f t="shared" si="14"/>
        <v>2020</v>
      </c>
      <c r="E200" s="5" t="str">
        <f t="shared" si="15"/>
        <v>Q4</v>
      </c>
      <c r="F200" s="5">
        <v>78.730003359999998</v>
      </c>
      <c r="G200" s="5">
        <v>79.192497250000002</v>
      </c>
      <c r="H200" s="5">
        <v>77.29499817</v>
      </c>
      <c r="I200" s="5">
        <v>78.171997070000003</v>
      </c>
      <c r="J200" s="5">
        <v>33174000</v>
      </c>
      <c r="K200" s="5">
        <v>77.889640810000003</v>
      </c>
    </row>
    <row r="201" spans="1:11" hidden="1">
      <c r="A201" s="4">
        <v>44120</v>
      </c>
      <c r="B201" s="5">
        <f t="shared" si="12"/>
        <v>16</v>
      </c>
      <c r="C201" s="5">
        <f t="shared" si="13"/>
        <v>10</v>
      </c>
      <c r="D201" s="5">
        <f t="shared" si="14"/>
        <v>2020</v>
      </c>
      <c r="E201" s="5" t="str">
        <f t="shared" si="15"/>
        <v>Q4</v>
      </c>
      <c r="F201" s="5">
        <v>77.224998470000003</v>
      </c>
      <c r="G201" s="5">
        <v>78.569999690000003</v>
      </c>
      <c r="H201" s="5">
        <v>77.056503300000003</v>
      </c>
      <c r="I201" s="5">
        <v>77.773498540000006</v>
      </c>
      <c r="J201" s="5">
        <v>31210000</v>
      </c>
      <c r="K201" s="5">
        <v>77.492584230000006</v>
      </c>
    </row>
    <row r="202" spans="1:11" hidden="1">
      <c r="A202" s="4">
        <v>44123</v>
      </c>
      <c r="B202" s="5">
        <f t="shared" si="12"/>
        <v>19</v>
      </c>
      <c r="C202" s="5">
        <f t="shared" si="13"/>
        <v>10</v>
      </c>
      <c r="D202" s="5">
        <f t="shared" si="14"/>
        <v>2020</v>
      </c>
      <c r="E202" s="5" t="str">
        <f t="shared" si="15"/>
        <v>Q4</v>
      </c>
      <c r="F202" s="5">
        <v>78.091499330000005</v>
      </c>
      <c r="G202" s="5">
        <v>78.885498049999995</v>
      </c>
      <c r="H202" s="5">
        <v>77.88300323</v>
      </c>
      <c r="I202" s="5">
        <v>78.385002139999997</v>
      </c>
      <c r="J202" s="5">
        <v>34194000</v>
      </c>
      <c r="K202" s="5">
        <v>78.101875309999997</v>
      </c>
    </row>
    <row r="203" spans="1:11" hidden="1">
      <c r="A203" s="4">
        <v>44124</v>
      </c>
      <c r="B203" s="5">
        <f t="shared" si="12"/>
        <v>20</v>
      </c>
      <c r="C203" s="5">
        <f t="shared" si="13"/>
        <v>10</v>
      </c>
      <c r="D203" s="5">
        <f t="shared" si="14"/>
        <v>2020</v>
      </c>
      <c r="E203" s="5" t="str">
        <f t="shared" si="15"/>
        <v>Q4</v>
      </c>
      <c r="F203" s="5">
        <v>78.796501160000005</v>
      </c>
      <c r="G203" s="5">
        <v>79.196502690000003</v>
      </c>
      <c r="H203" s="5">
        <v>76.146003719999996</v>
      </c>
      <c r="I203" s="5">
        <v>76.497497559999999</v>
      </c>
      <c r="J203" s="5">
        <v>29734000</v>
      </c>
      <c r="K203" s="5">
        <v>76.221191410000003</v>
      </c>
    </row>
    <row r="204" spans="1:11" hidden="1">
      <c r="A204" s="4">
        <v>44125</v>
      </c>
      <c r="B204" s="5">
        <f t="shared" si="12"/>
        <v>21</v>
      </c>
      <c r="C204" s="5">
        <f t="shared" si="13"/>
        <v>10</v>
      </c>
      <c r="D204" s="5">
        <f t="shared" si="14"/>
        <v>2020</v>
      </c>
      <c r="E204" s="5" t="str">
        <f t="shared" si="15"/>
        <v>Q4</v>
      </c>
      <c r="F204" s="5">
        <v>76.155502319999997</v>
      </c>
      <c r="G204" s="5">
        <v>78.692001340000004</v>
      </c>
      <c r="H204" s="5">
        <v>76.025001529999997</v>
      </c>
      <c r="I204" s="5">
        <v>77.554000849999994</v>
      </c>
      <c r="J204" s="5">
        <v>41670000</v>
      </c>
      <c r="K204" s="5">
        <v>77.273880000000005</v>
      </c>
    </row>
    <row r="205" spans="1:11" hidden="1">
      <c r="A205" s="4">
        <v>44126</v>
      </c>
      <c r="B205" s="5">
        <f t="shared" si="12"/>
        <v>22</v>
      </c>
      <c r="C205" s="5">
        <f t="shared" si="13"/>
        <v>10</v>
      </c>
      <c r="D205" s="5">
        <f t="shared" si="14"/>
        <v>2020</v>
      </c>
      <c r="E205" s="5" t="str">
        <f t="shared" si="15"/>
        <v>Q4</v>
      </c>
      <c r="F205" s="5">
        <v>78.492500309999997</v>
      </c>
      <c r="G205" s="5">
        <v>80.757003780000005</v>
      </c>
      <c r="H205" s="5">
        <v>78.357002260000002</v>
      </c>
      <c r="I205" s="5">
        <v>79.299499510000004</v>
      </c>
      <c r="J205" s="5">
        <v>60322000</v>
      </c>
      <c r="K205" s="5">
        <v>79.013069150000007</v>
      </c>
    </row>
    <row r="206" spans="1:11" hidden="1">
      <c r="A206" s="4">
        <v>44127</v>
      </c>
      <c r="B206" s="5">
        <f t="shared" si="12"/>
        <v>23</v>
      </c>
      <c r="C206" s="5">
        <f t="shared" si="13"/>
        <v>10</v>
      </c>
      <c r="D206" s="5">
        <f t="shared" si="14"/>
        <v>2020</v>
      </c>
      <c r="E206" s="5" t="str">
        <f t="shared" si="15"/>
        <v>Q4</v>
      </c>
      <c r="F206" s="5">
        <v>79.25</v>
      </c>
      <c r="G206" s="5">
        <v>80.670997619999994</v>
      </c>
      <c r="H206" s="5">
        <v>78.874000550000005</v>
      </c>
      <c r="I206" s="5">
        <v>80.333000179999999</v>
      </c>
      <c r="J206" s="5">
        <v>30512000</v>
      </c>
      <c r="K206" s="5">
        <v>80.042839049999998</v>
      </c>
    </row>
    <row r="207" spans="1:11" hidden="1">
      <c r="A207" s="4">
        <v>44130</v>
      </c>
      <c r="B207" s="5">
        <f t="shared" si="12"/>
        <v>26</v>
      </c>
      <c r="C207" s="5">
        <f t="shared" si="13"/>
        <v>10</v>
      </c>
      <c r="D207" s="5">
        <f t="shared" si="14"/>
        <v>2020</v>
      </c>
      <c r="E207" s="5" t="str">
        <f t="shared" si="15"/>
        <v>Q4</v>
      </c>
      <c r="F207" s="5">
        <v>80.752502440000001</v>
      </c>
      <c r="G207" s="5">
        <v>81.706001279999995</v>
      </c>
      <c r="H207" s="5">
        <v>80.595497129999998</v>
      </c>
      <c r="I207" s="5">
        <v>81.649002080000002</v>
      </c>
      <c r="J207" s="5">
        <v>30548000</v>
      </c>
      <c r="K207" s="5">
        <v>81.354087829999997</v>
      </c>
    </row>
    <row r="208" spans="1:11" hidden="1">
      <c r="A208" s="4">
        <v>44131</v>
      </c>
      <c r="B208" s="5">
        <f t="shared" si="12"/>
        <v>27</v>
      </c>
      <c r="C208" s="5">
        <f t="shared" si="13"/>
        <v>10</v>
      </c>
      <c r="D208" s="5">
        <f t="shared" si="14"/>
        <v>2020</v>
      </c>
      <c r="E208" s="5" t="str">
        <f t="shared" si="15"/>
        <v>Q4</v>
      </c>
      <c r="F208" s="5">
        <v>80.75</v>
      </c>
      <c r="G208" s="5">
        <v>81.478996280000004</v>
      </c>
      <c r="H208" s="5">
        <v>78.388999940000005</v>
      </c>
      <c r="I208" s="5">
        <v>79.214500430000001</v>
      </c>
      <c r="J208" s="5">
        <v>35826000</v>
      </c>
      <c r="K208" s="5">
        <v>78.928382869999993</v>
      </c>
    </row>
    <row r="209" spans="1:11" hidden="1">
      <c r="A209" s="4">
        <v>44132</v>
      </c>
      <c r="B209" s="5">
        <f t="shared" si="12"/>
        <v>28</v>
      </c>
      <c r="C209" s="5">
        <f t="shared" si="13"/>
        <v>10</v>
      </c>
      <c r="D209" s="5">
        <f t="shared" si="14"/>
        <v>2020</v>
      </c>
      <c r="E209" s="5" t="str">
        <f t="shared" si="15"/>
        <v>Q4</v>
      </c>
      <c r="F209" s="5">
        <v>79.446502690000003</v>
      </c>
      <c r="G209" s="5">
        <v>80.099998470000003</v>
      </c>
      <c r="H209" s="5">
        <v>78.849502560000005</v>
      </c>
      <c r="I209" s="5">
        <v>79.944000239999994</v>
      </c>
      <c r="J209" s="5">
        <v>25902000</v>
      </c>
      <c r="K209" s="5">
        <v>79.655242920000006</v>
      </c>
    </row>
    <row r="210" spans="1:11" hidden="1">
      <c r="A210" s="4">
        <v>44133</v>
      </c>
      <c r="B210" s="5">
        <f t="shared" si="12"/>
        <v>29</v>
      </c>
      <c r="C210" s="5">
        <f t="shared" si="13"/>
        <v>10</v>
      </c>
      <c r="D210" s="5">
        <f t="shared" si="14"/>
        <v>2020</v>
      </c>
      <c r="E210" s="5" t="str">
        <f t="shared" si="15"/>
        <v>Q4</v>
      </c>
      <c r="F210" s="5">
        <v>77.500503539999997</v>
      </c>
      <c r="G210" s="5">
        <v>77.690498349999999</v>
      </c>
      <c r="H210" s="5">
        <v>75.424003600000006</v>
      </c>
      <c r="I210" s="5">
        <v>75.540000919999997</v>
      </c>
      <c r="J210" s="5">
        <v>45174000</v>
      </c>
      <c r="K210" s="5">
        <v>75.267150880000003</v>
      </c>
    </row>
    <row r="211" spans="1:11" hidden="1">
      <c r="A211" s="4">
        <v>44134</v>
      </c>
      <c r="B211" s="5">
        <f t="shared" si="12"/>
        <v>30</v>
      </c>
      <c r="C211" s="5">
        <f t="shared" si="13"/>
        <v>10</v>
      </c>
      <c r="D211" s="5">
        <f t="shared" si="14"/>
        <v>2020</v>
      </c>
      <c r="E211" s="5" t="str">
        <f t="shared" si="15"/>
        <v>Q4</v>
      </c>
      <c r="F211" s="5">
        <v>75.850997919999998</v>
      </c>
      <c r="G211" s="5">
        <v>79.436996460000003</v>
      </c>
      <c r="H211" s="5">
        <v>75.82749939</v>
      </c>
      <c r="I211" s="5">
        <v>77.844001770000006</v>
      </c>
      <c r="J211" s="5">
        <v>55406000</v>
      </c>
      <c r="K211" s="5">
        <v>77.562828060000001</v>
      </c>
    </row>
    <row r="212" spans="1:11" hidden="1">
      <c r="A212" s="4">
        <v>44137</v>
      </c>
      <c r="B212" s="5">
        <f t="shared" si="12"/>
        <v>2</v>
      </c>
      <c r="C212" s="5">
        <f t="shared" si="13"/>
        <v>11</v>
      </c>
      <c r="D212" s="5">
        <f t="shared" si="14"/>
        <v>2020</v>
      </c>
      <c r="E212" s="5" t="str">
        <f t="shared" si="15"/>
        <v>Q4</v>
      </c>
      <c r="F212" s="5">
        <v>83.372001650000001</v>
      </c>
      <c r="G212" s="5">
        <v>84.066001889999995</v>
      </c>
      <c r="H212" s="5">
        <v>80.078498839999995</v>
      </c>
      <c r="I212" s="5">
        <v>80.805496219999995</v>
      </c>
      <c r="J212" s="5">
        <v>99878000</v>
      </c>
      <c r="K212" s="5">
        <v>80.513626099999996</v>
      </c>
    </row>
    <row r="213" spans="1:11" hidden="1">
      <c r="A213" s="4">
        <v>44138</v>
      </c>
      <c r="B213" s="5">
        <f t="shared" si="12"/>
        <v>3</v>
      </c>
      <c r="C213" s="5">
        <f t="shared" si="13"/>
        <v>11</v>
      </c>
      <c r="D213" s="5">
        <f t="shared" si="14"/>
        <v>2020</v>
      </c>
      <c r="E213" s="5" t="str">
        <f t="shared" si="15"/>
        <v>Q4</v>
      </c>
      <c r="F213" s="5">
        <v>81.177001950000005</v>
      </c>
      <c r="G213" s="5">
        <v>82.912002560000005</v>
      </c>
      <c r="H213" s="5">
        <v>80.71199799</v>
      </c>
      <c r="I213" s="5">
        <v>81.216003420000007</v>
      </c>
      <c r="J213" s="5">
        <v>44228000</v>
      </c>
      <c r="K213" s="5">
        <v>80.922653199999999</v>
      </c>
    </row>
    <row r="214" spans="1:11" hidden="1">
      <c r="A214" s="4">
        <v>44139</v>
      </c>
      <c r="B214" s="5">
        <f t="shared" si="12"/>
        <v>4</v>
      </c>
      <c r="C214" s="5">
        <f t="shared" si="13"/>
        <v>11</v>
      </c>
      <c r="D214" s="5">
        <f t="shared" si="14"/>
        <v>2020</v>
      </c>
      <c r="E214" s="5" t="str">
        <f t="shared" si="15"/>
        <v>Q4</v>
      </c>
      <c r="F214" s="5">
        <v>81.53800201</v>
      </c>
      <c r="G214" s="5">
        <v>82.949996949999999</v>
      </c>
      <c r="H214" s="5">
        <v>80.605499269999996</v>
      </c>
      <c r="I214" s="5">
        <v>82.282997129999998</v>
      </c>
      <c r="J214" s="5">
        <v>31432000</v>
      </c>
      <c r="K214" s="5">
        <v>81.985794069999997</v>
      </c>
    </row>
    <row r="215" spans="1:11" hidden="1">
      <c r="A215" s="4">
        <v>44140</v>
      </c>
      <c r="B215" s="5">
        <f t="shared" si="12"/>
        <v>5</v>
      </c>
      <c r="C215" s="5">
        <f t="shared" si="13"/>
        <v>11</v>
      </c>
      <c r="D215" s="5">
        <f t="shared" si="14"/>
        <v>2020</v>
      </c>
      <c r="E215" s="5" t="str">
        <f t="shared" si="15"/>
        <v>Q4</v>
      </c>
      <c r="F215" s="5">
        <v>85.278999330000005</v>
      </c>
      <c r="G215" s="5">
        <v>88.501502990000006</v>
      </c>
      <c r="H215" s="5">
        <v>85.150001529999997</v>
      </c>
      <c r="I215" s="5">
        <v>87.292503359999998</v>
      </c>
      <c r="J215" s="5">
        <v>71342000</v>
      </c>
      <c r="K215" s="5">
        <v>86.977203369999998</v>
      </c>
    </row>
    <row r="216" spans="1:11" hidden="1">
      <c r="A216" s="4">
        <v>44141</v>
      </c>
      <c r="B216" s="5">
        <f t="shared" si="12"/>
        <v>6</v>
      </c>
      <c r="C216" s="5">
        <f t="shared" si="13"/>
        <v>11</v>
      </c>
      <c r="D216" s="5">
        <f t="shared" si="14"/>
        <v>2020</v>
      </c>
      <c r="E216" s="5" t="str">
        <f t="shared" si="15"/>
        <v>Q4</v>
      </c>
      <c r="F216" s="5">
        <v>88.522499080000003</v>
      </c>
      <c r="G216" s="5">
        <v>89.591003420000007</v>
      </c>
      <c r="H216" s="5">
        <v>87.051498409999994</v>
      </c>
      <c r="I216" s="5">
        <v>88.125</v>
      </c>
      <c r="J216" s="5">
        <v>39758000</v>
      </c>
      <c r="K216" s="5">
        <v>87.806694030000003</v>
      </c>
    </row>
    <row r="217" spans="1:11" hidden="1">
      <c r="A217" s="4">
        <v>44144</v>
      </c>
      <c r="B217" s="5">
        <f t="shared" si="12"/>
        <v>9</v>
      </c>
      <c r="C217" s="5">
        <f t="shared" si="13"/>
        <v>11</v>
      </c>
      <c r="D217" s="5">
        <f t="shared" si="14"/>
        <v>2020</v>
      </c>
      <c r="E217" s="5" t="str">
        <f t="shared" si="15"/>
        <v>Q4</v>
      </c>
      <c r="F217" s="5">
        <v>87.567001340000004</v>
      </c>
      <c r="G217" s="5">
        <v>88.425003050000001</v>
      </c>
      <c r="H217" s="5">
        <v>86.833999629999994</v>
      </c>
      <c r="I217" s="5">
        <v>87.986503600000006</v>
      </c>
      <c r="J217" s="5">
        <v>28622000</v>
      </c>
      <c r="K217" s="5">
        <v>87.668701170000006</v>
      </c>
    </row>
    <row r="218" spans="1:11" hidden="1">
      <c r="A218" s="4">
        <v>44145</v>
      </c>
      <c r="B218" s="5">
        <f t="shared" si="12"/>
        <v>10</v>
      </c>
      <c r="C218" s="5">
        <f t="shared" si="13"/>
        <v>11</v>
      </c>
      <c r="D218" s="5">
        <f t="shared" si="14"/>
        <v>2020</v>
      </c>
      <c r="E218" s="5" t="str">
        <f t="shared" si="15"/>
        <v>Q4</v>
      </c>
      <c r="F218" s="5">
        <v>89.799003600000006</v>
      </c>
      <c r="G218" s="5">
        <v>90.844497680000003</v>
      </c>
      <c r="H218" s="5">
        <v>87.877502440000001</v>
      </c>
      <c r="I218" s="5">
        <v>88.070999150000006</v>
      </c>
      <c r="J218" s="5">
        <v>53440000</v>
      </c>
      <c r="K218" s="5">
        <v>87.752883909999994</v>
      </c>
    </row>
    <row r="219" spans="1:11" hidden="1">
      <c r="A219" s="4">
        <v>44146</v>
      </c>
      <c r="B219" s="5">
        <f t="shared" si="12"/>
        <v>11</v>
      </c>
      <c r="C219" s="5">
        <f t="shared" si="13"/>
        <v>11</v>
      </c>
      <c r="D219" s="5">
        <f t="shared" si="14"/>
        <v>2020</v>
      </c>
      <c r="E219" s="5" t="str">
        <f t="shared" si="15"/>
        <v>Q4</v>
      </c>
      <c r="F219" s="5">
        <v>86.488502499999996</v>
      </c>
      <c r="G219" s="5">
        <v>87.969001770000006</v>
      </c>
      <c r="H219" s="5">
        <v>85.805999760000006</v>
      </c>
      <c r="I219" s="5">
        <v>86.886001590000006</v>
      </c>
      <c r="J219" s="5">
        <v>43022000</v>
      </c>
      <c r="K219" s="5">
        <v>86.572174070000003</v>
      </c>
    </row>
    <row r="220" spans="1:11" hidden="1">
      <c r="A220" s="4">
        <v>44147</v>
      </c>
      <c r="B220" s="5">
        <f t="shared" si="12"/>
        <v>12</v>
      </c>
      <c r="C220" s="5">
        <f t="shared" si="13"/>
        <v>11</v>
      </c>
      <c r="D220" s="5">
        <f t="shared" si="14"/>
        <v>2020</v>
      </c>
      <c r="E220" s="5" t="str">
        <f t="shared" si="15"/>
        <v>Q4</v>
      </c>
      <c r="F220" s="5">
        <v>87.41999817</v>
      </c>
      <c r="G220" s="5">
        <v>88.144996640000002</v>
      </c>
      <c r="H220" s="5">
        <v>87.152999879999996</v>
      </c>
      <c r="I220" s="5">
        <v>87.361503600000006</v>
      </c>
      <c r="J220" s="5">
        <v>31838000</v>
      </c>
      <c r="K220" s="5">
        <v>87.04595947</v>
      </c>
    </row>
    <row r="221" spans="1:11" hidden="1">
      <c r="A221" s="4">
        <v>44148</v>
      </c>
      <c r="B221" s="5">
        <f t="shared" si="12"/>
        <v>13</v>
      </c>
      <c r="C221" s="5">
        <f t="shared" si="13"/>
        <v>11</v>
      </c>
      <c r="D221" s="5">
        <f t="shared" si="14"/>
        <v>2020</v>
      </c>
      <c r="E221" s="5" t="str">
        <f t="shared" si="15"/>
        <v>Q4</v>
      </c>
      <c r="F221" s="5">
        <v>87.099998470000003</v>
      </c>
      <c r="G221" s="5">
        <v>88.249000550000005</v>
      </c>
      <c r="H221" s="5">
        <v>86.898498540000006</v>
      </c>
      <c r="I221" s="5">
        <v>87.140998839999995</v>
      </c>
      <c r="J221" s="5">
        <v>26474000</v>
      </c>
      <c r="K221" s="5">
        <v>86.82624817</v>
      </c>
    </row>
    <row r="222" spans="1:11" hidden="1">
      <c r="A222" s="4">
        <v>44151</v>
      </c>
      <c r="B222" s="5">
        <f t="shared" si="12"/>
        <v>16</v>
      </c>
      <c r="C222" s="5">
        <f t="shared" si="13"/>
        <v>11</v>
      </c>
      <c r="D222" s="5">
        <f t="shared" si="14"/>
        <v>2020</v>
      </c>
      <c r="E222" s="5" t="str">
        <f t="shared" si="15"/>
        <v>Q4</v>
      </c>
      <c r="F222" s="5">
        <v>87.400001529999997</v>
      </c>
      <c r="G222" s="5">
        <v>88.856498720000005</v>
      </c>
      <c r="H222" s="5">
        <v>86.799003600000006</v>
      </c>
      <c r="I222" s="5">
        <v>88.612998959999999</v>
      </c>
      <c r="J222" s="5">
        <v>29744000</v>
      </c>
      <c r="K222" s="5">
        <v>88.292930600000005</v>
      </c>
    </row>
    <row r="223" spans="1:11" hidden="1">
      <c r="A223" s="4">
        <v>44152</v>
      </c>
      <c r="B223" s="5">
        <f t="shared" si="12"/>
        <v>17</v>
      </c>
      <c r="C223" s="5">
        <f t="shared" si="13"/>
        <v>11</v>
      </c>
      <c r="D223" s="5">
        <f t="shared" si="14"/>
        <v>2020</v>
      </c>
      <c r="E223" s="5" t="str">
        <f t="shared" si="15"/>
        <v>Q4</v>
      </c>
      <c r="F223" s="5">
        <v>88.207000730000004</v>
      </c>
      <c r="G223" s="5">
        <v>89.717002870000002</v>
      </c>
      <c r="H223" s="5">
        <v>88.066497799999993</v>
      </c>
      <c r="I223" s="5">
        <v>88.701499940000005</v>
      </c>
      <c r="J223" s="5">
        <v>25468000</v>
      </c>
      <c r="K223" s="5">
        <v>88.38111877</v>
      </c>
    </row>
    <row r="224" spans="1:11" hidden="1">
      <c r="A224" s="4">
        <v>44153</v>
      </c>
      <c r="B224" s="5">
        <f t="shared" si="12"/>
        <v>18</v>
      </c>
      <c r="C224" s="5">
        <f t="shared" si="13"/>
        <v>11</v>
      </c>
      <c r="D224" s="5">
        <f t="shared" si="14"/>
        <v>2020</v>
      </c>
      <c r="E224" s="5" t="str">
        <f t="shared" si="15"/>
        <v>Q4</v>
      </c>
      <c r="F224" s="5">
        <v>88.392997739999998</v>
      </c>
      <c r="G224" s="5">
        <v>88.857002260000002</v>
      </c>
      <c r="H224" s="5">
        <v>87.974502560000005</v>
      </c>
      <c r="I224" s="5">
        <v>88.083000179999999</v>
      </c>
      <c r="J224" s="5">
        <v>21314000</v>
      </c>
      <c r="K224" s="5">
        <v>87.764846800000001</v>
      </c>
    </row>
    <row r="225" spans="1:11" hidden="1">
      <c r="A225" s="4">
        <v>44154</v>
      </c>
      <c r="B225" s="5">
        <f t="shared" si="12"/>
        <v>19</v>
      </c>
      <c r="C225" s="5">
        <f t="shared" si="13"/>
        <v>11</v>
      </c>
      <c r="D225" s="5">
        <f t="shared" si="14"/>
        <v>2020</v>
      </c>
      <c r="E225" s="5" t="str">
        <f t="shared" si="15"/>
        <v>Q4</v>
      </c>
      <c r="F225" s="5">
        <v>87.832000730000004</v>
      </c>
      <c r="G225" s="5">
        <v>88.25</v>
      </c>
      <c r="H225" s="5">
        <v>86.928497309999997</v>
      </c>
      <c r="I225" s="5">
        <v>87.031997680000003</v>
      </c>
      <c r="J225" s="5">
        <v>20108000</v>
      </c>
      <c r="K225" s="5">
        <v>86.717636110000001</v>
      </c>
    </row>
    <row r="226" spans="1:11" hidden="1">
      <c r="A226" s="4">
        <v>44155</v>
      </c>
      <c r="B226" s="5">
        <f t="shared" si="12"/>
        <v>20</v>
      </c>
      <c r="C226" s="5">
        <f t="shared" si="13"/>
        <v>11</v>
      </c>
      <c r="D226" s="5">
        <f t="shared" si="14"/>
        <v>2020</v>
      </c>
      <c r="E226" s="5" t="str">
        <f t="shared" si="15"/>
        <v>Q4</v>
      </c>
      <c r="F226" s="5">
        <v>86.661499019999994</v>
      </c>
      <c r="G226" s="5">
        <v>88.174499510000004</v>
      </c>
      <c r="H226" s="5">
        <v>86.500999449999995</v>
      </c>
      <c r="I226" s="5">
        <v>87.928497309999997</v>
      </c>
      <c r="J226" s="5">
        <v>20106000</v>
      </c>
      <c r="K226" s="5">
        <v>87.610908510000002</v>
      </c>
    </row>
    <row r="227" spans="1:11" hidden="1">
      <c r="A227" s="4">
        <v>44158</v>
      </c>
      <c r="B227" s="5">
        <f t="shared" si="12"/>
        <v>23</v>
      </c>
      <c r="C227" s="5">
        <f t="shared" si="13"/>
        <v>11</v>
      </c>
      <c r="D227" s="5">
        <f t="shared" si="14"/>
        <v>2020</v>
      </c>
      <c r="E227" s="5" t="str">
        <f t="shared" si="15"/>
        <v>Q4</v>
      </c>
      <c r="F227" s="5">
        <v>88.099998470000003</v>
      </c>
      <c r="G227" s="5">
        <v>88.417999269999996</v>
      </c>
      <c r="H227" s="5">
        <v>86.75</v>
      </c>
      <c r="I227" s="5">
        <v>86.819000239999994</v>
      </c>
      <c r="J227" s="5">
        <v>27694000</v>
      </c>
      <c r="K227" s="5">
        <v>86.505409240000006</v>
      </c>
    </row>
    <row r="228" spans="1:11" hidden="1">
      <c r="A228" s="4">
        <v>44159</v>
      </c>
      <c r="B228" s="5">
        <f t="shared" si="12"/>
        <v>24</v>
      </c>
      <c r="C228" s="5">
        <f t="shared" si="13"/>
        <v>11</v>
      </c>
      <c r="D228" s="5">
        <f t="shared" si="14"/>
        <v>2020</v>
      </c>
      <c r="E228" s="5" t="str">
        <f t="shared" si="15"/>
        <v>Q4</v>
      </c>
      <c r="F228" s="5">
        <v>87.011001590000006</v>
      </c>
      <c r="G228" s="5">
        <v>87.299499510000004</v>
      </c>
      <c r="H228" s="5">
        <v>85.509002690000003</v>
      </c>
      <c r="I228" s="5">
        <v>86.377998349999999</v>
      </c>
      <c r="J228" s="5">
        <v>22530000</v>
      </c>
      <c r="K228" s="5">
        <v>86.066001889999995</v>
      </c>
    </row>
    <row r="229" spans="1:11" hidden="1">
      <c r="A229" s="4">
        <v>44160</v>
      </c>
      <c r="B229" s="5">
        <f t="shared" si="12"/>
        <v>25</v>
      </c>
      <c r="C229" s="5">
        <f t="shared" si="13"/>
        <v>11</v>
      </c>
      <c r="D229" s="5">
        <f t="shared" si="14"/>
        <v>2020</v>
      </c>
      <c r="E229" s="5" t="str">
        <f t="shared" si="15"/>
        <v>Q4</v>
      </c>
      <c r="F229" s="5">
        <v>86.375</v>
      </c>
      <c r="G229" s="5">
        <v>88.323997500000004</v>
      </c>
      <c r="H229" s="5">
        <v>86.036499019999994</v>
      </c>
      <c r="I229" s="5">
        <v>88.194999690000003</v>
      </c>
      <c r="J229" s="5">
        <v>27984000</v>
      </c>
      <c r="K229" s="5">
        <v>87.876441959999994</v>
      </c>
    </row>
    <row r="230" spans="1:11" hidden="1">
      <c r="A230" s="4">
        <v>44162</v>
      </c>
      <c r="B230" s="5">
        <f t="shared" si="12"/>
        <v>27</v>
      </c>
      <c r="C230" s="5">
        <f t="shared" si="13"/>
        <v>11</v>
      </c>
      <c r="D230" s="5">
        <f t="shared" si="14"/>
        <v>2020</v>
      </c>
      <c r="E230" s="5" t="str">
        <f t="shared" si="15"/>
        <v>Q4</v>
      </c>
      <c r="F230" s="5">
        <v>88.390502929999997</v>
      </c>
      <c r="G230" s="5">
        <v>88.518997189999993</v>
      </c>
      <c r="H230" s="5">
        <v>87.417999269999996</v>
      </c>
      <c r="I230" s="5">
        <v>88.206497189999993</v>
      </c>
      <c r="J230" s="5">
        <v>19600000</v>
      </c>
      <c r="K230" s="5">
        <v>87.887893680000005</v>
      </c>
    </row>
    <row r="231" spans="1:11" hidden="1">
      <c r="A231" s="4">
        <v>44165</v>
      </c>
      <c r="B231" s="5">
        <f t="shared" si="12"/>
        <v>30</v>
      </c>
      <c r="C231" s="5">
        <f t="shared" si="13"/>
        <v>11</v>
      </c>
      <c r="D231" s="5">
        <f t="shared" si="14"/>
        <v>2020</v>
      </c>
      <c r="E231" s="5" t="str">
        <f t="shared" si="15"/>
        <v>Q4</v>
      </c>
      <c r="F231" s="5">
        <v>88.22699738</v>
      </c>
      <c r="G231" s="5">
        <v>89.85050201</v>
      </c>
      <c r="H231" s="5">
        <v>88.22699738</v>
      </c>
      <c r="I231" s="5">
        <v>89.350997919999998</v>
      </c>
      <c r="J231" s="5">
        <v>14790000</v>
      </c>
      <c r="K231" s="5">
        <v>89.02825928</v>
      </c>
    </row>
    <row r="232" spans="1:11" hidden="1">
      <c r="A232" s="4">
        <v>44166</v>
      </c>
      <c r="B232" s="5">
        <f t="shared" si="12"/>
        <v>1</v>
      </c>
      <c r="C232" s="5">
        <f t="shared" si="13"/>
        <v>12</v>
      </c>
      <c r="D232" s="5">
        <f t="shared" si="14"/>
        <v>2020</v>
      </c>
      <c r="E232" s="5" t="str">
        <f t="shared" si="15"/>
        <v>Q4</v>
      </c>
      <c r="F232" s="5">
        <v>88.78250122</v>
      </c>
      <c r="G232" s="5">
        <v>89.016998290000004</v>
      </c>
      <c r="H232" s="5">
        <v>87.391998290000004</v>
      </c>
      <c r="I232" s="5">
        <v>87.72000122</v>
      </c>
      <c r="J232" s="5">
        <v>32418000</v>
      </c>
      <c r="K232" s="5">
        <v>87.403160099999994</v>
      </c>
    </row>
    <row r="233" spans="1:11" hidden="1">
      <c r="A233" s="4">
        <v>44167</v>
      </c>
      <c r="B233" s="5">
        <f t="shared" si="12"/>
        <v>2</v>
      </c>
      <c r="C233" s="5">
        <f t="shared" si="13"/>
        <v>12</v>
      </c>
      <c r="D233" s="5">
        <f t="shared" si="14"/>
        <v>2020</v>
      </c>
      <c r="E233" s="5" t="str">
        <f t="shared" si="15"/>
        <v>Q4</v>
      </c>
      <c r="F233" s="5">
        <v>88.333000179999999</v>
      </c>
      <c r="G233" s="5">
        <v>91.085998540000006</v>
      </c>
      <c r="H233" s="5">
        <v>88.151496890000004</v>
      </c>
      <c r="I233" s="5">
        <v>89.767997739999998</v>
      </c>
      <c r="J233" s="5">
        <v>37350000</v>
      </c>
      <c r="K233" s="5">
        <v>89.443763730000001</v>
      </c>
    </row>
    <row r="234" spans="1:11" hidden="1">
      <c r="A234" s="4">
        <v>44168</v>
      </c>
      <c r="B234" s="5">
        <f t="shared" si="12"/>
        <v>3</v>
      </c>
      <c r="C234" s="5">
        <f t="shared" si="13"/>
        <v>12</v>
      </c>
      <c r="D234" s="5">
        <f t="shared" si="14"/>
        <v>2020</v>
      </c>
      <c r="E234" s="5" t="str">
        <f t="shared" si="15"/>
        <v>Q4</v>
      </c>
      <c r="F234" s="5">
        <v>89.767997739999998</v>
      </c>
      <c r="G234" s="5">
        <v>91.637001040000001</v>
      </c>
      <c r="H234" s="5">
        <v>89.258499150000006</v>
      </c>
      <c r="I234" s="5">
        <v>91.248497009999994</v>
      </c>
      <c r="J234" s="5">
        <v>29424000</v>
      </c>
      <c r="K234" s="5">
        <v>90.918907169999997</v>
      </c>
    </row>
    <row r="235" spans="1:11" hidden="1">
      <c r="A235" s="4">
        <v>44169</v>
      </c>
      <c r="B235" s="5">
        <f t="shared" si="12"/>
        <v>4</v>
      </c>
      <c r="C235" s="5">
        <f t="shared" si="13"/>
        <v>12</v>
      </c>
      <c r="D235" s="5">
        <f t="shared" si="14"/>
        <v>2020</v>
      </c>
      <c r="E235" s="5" t="str">
        <f t="shared" si="15"/>
        <v>Q4</v>
      </c>
      <c r="F235" s="5">
        <v>91.027000430000001</v>
      </c>
      <c r="G235" s="5">
        <v>92.191497799999993</v>
      </c>
      <c r="H235" s="5">
        <v>90.849998470000003</v>
      </c>
      <c r="I235" s="5">
        <v>91.092002870000002</v>
      </c>
      <c r="J235" s="5">
        <v>24728000</v>
      </c>
      <c r="K235" s="5">
        <v>90.762985229999998</v>
      </c>
    </row>
    <row r="236" spans="1:11" hidden="1">
      <c r="A236" s="4">
        <v>44172</v>
      </c>
      <c r="B236" s="5">
        <f t="shared" si="12"/>
        <v>7</v>
      </c>
      <c r="C236" s="5">
        <f t="shared" si="13"/>
        <v>12</v>
      </c>
      <c r="D236" s="5">
        <f t="shared" si="14"/>
        <v>2020</v>
      </c>
      <c r="E236" s="5" t="str">
        <f t="shared" si="15"/>
        <v>Q4</v>
      </c>
      <c r="F236" s="5">
        <v>91.011001590000006</v>
      </c>
      <c r="G236" s="5">
        <v>91.474998470000003</v>
      </c>
      <c r="H236" s="5">
        <v>90.67949677</v>
      </c>
      <c r="I236" s="5">
        <v>91.188003539999997</v>
      </c>
      <c r="J236" s="5">
        <v>20544000</v>
      </c>
      <c r="K236" s="5">
        <v>90.858634949999995</v>
      </c>
    </row>
    <row r="237" spans="1:11" hidden="1">
      <c r="A237" s="4">
        <v>44173</v>
      </c>
      <c r="B237" s="5">
        <f t="shared" si="12"/>
        <v>8</v>
      </c>
      <c r="C237" s="5">
        <f t="shared" si="13"/>
        <v>12</v>
      </c>
      <c r="D237" s="5">
        <f t="shared" si="14"/>
        <v>2020</v>
      </c>
      <c r="E237" s="5" t="str">
        <f t="shared" si="15"/>
        <v>Q4</v>
      </c>
      <c r="F237" s="5">
        <v>90.777496339999999</v>
      </c>
      <c r="G237" s="5">
        <v>91.464500430000001</v>
      </c>
      <c r="H237" s="5">
        <v>90.152000430000001</v>
      </c>
      <c r="I237" s="5">
        <v>90.851501459999994</v>
      </c>
      <c r="J237" s="5">
        <v>22288000</v>
      </c>
      <c r="K237" s="5">
        <v>90.523353580000006</v>
      </c>
    </row>
    <row r="238" spans="1:11" hidden="1">
      <c r="A238" s="4">
        <v>44174</v>
      </c>
      <c r="B238" s="5">
        <f t="shared" si="12"/>
        <v>9</v>
      </c>
      <c r="C238" s="5">
        <f t="shared" si="13"/>
        <v>12</v>
      </c>
      <c r="D238" s="5">
        <f t="shared" si="14"/>
        <v>2020</v>
      </c>
      <c r="E238" s="5" t="str">
        <f t="shared" si="15"/>
        <v>Q4</v>
      </c>
      <c r="F238" s="5">
        <v>90.426002499999996</v>
      </c>
      <c r="G238" s="5">
        <v>90.798500059999995</v>
      </c>
      <c r="H238" s="5">
        <v>89.564002990000006</v>
      </c>
      <c r="I238" s="5">
        <v>90.566497799999993</v>
      </c>
      <c r="J238" s="5">
        <v>19936000</v>
      </c>
      <c r="K238" s="5">
        <v>90.239372250000002</v>
      </c>
    </row>
    <row r="239" spans="1:11" hidden="1">
      <c r="A239" s="4">
        <v>44175</v>
      </c>
      <c r="B239" s="5">
        <f t="shared" si="12"/>
        <v>10</v>
      </c>
      <c r="C239" s="5">
        <f t="shared" si="13"/>
        <v>12</v>
      </c>
      <c r="D239" s="5">
        <f t="shared" si="14"/>
        <v>2020</v>
      </c>
      <c r="E239" s="5" t="str">
        <f t="shared" si="15"/>
        <v>Q4</v>
      </c>
      <c r="F239" s="5">
        <v>90.517997739999998</v>
      </c>
      <c r="G239" s="5">
        <v>91.418502810000007</v>
      </c>
      <c r="H239" s="5">
        <v>88.099998470000003</v>
      </c>
      <c r="I239" s="5">
        <v>88.892997739999998</v>
      </c>
      <c r="J239" s="5">
        <v>31728000</v>
      </c>
      <c r="K239" s="5">
        <v>88.571914669999998</v>
      </c>
    </row>
    <row r="240" spans="1:11" hidden="1">
      <c r="A240" s="4">
        <v>44176</v>
      </c>
      <c r="B240" s="5">
        <f t="shared" si="12"/>
        <v>11</v>
      </c>
      <c r="C240" s="5">
        <f t="shared" si="13"/>
        <v>12</v>
      </c>
      <c r="D240" s="5">
        <f t="shared" si="14"/>
        <v>2020</v>
      </c>
      <c r="E240" s="5" t="str">
        <f t="shared" si="15"/>
        <v>Q4</v>
      </c>
      <c r="F240" s="5">
        <v>88.129997250000002</v>
      </c>
      <c r="G240" s="5">
        <v>88.749496460000003</v>
      </c>
      <c r="H240" s="5">
        <v>86.676498409999994</v>
      </c>
      <c r="I240" s="5">
        <v>88.382499690000003</v>
      </c>
      <c r="J240" s="5">
        <v>28688000</v>
      </c>
      <c r="K240" s="5">
        <v>88.063262940000001</v>
      </c>
    </row>
    <row r="241" spans="1:11" hidden="1">
      <c r="A241" s="4">
        <v>44179</v>
      </c>
      <c r="B241" s="5">
        <f t="shared" si="12"/>
        <v>14</v>
      </c>
      <c r="C241" s="5">
        <f t="shared" si="13"/>
        <v>12</v>
      </c>
      <c r="D241" s="5">
        <f t="shared" si="14"/>
        <v>2020</v>
      </c>
      <c r="E241" s="5" t="str">
        <f t="shared" si="15"/>
        <v>Q4</v>
      </c>
      <c r="F241" s="5">
        <v>88</v>
      </c>
      <c r="G241" s="5">
        <v>88.865501399999999</v>
      </c>
      <c r="H241" s="5">
        <v>87.637001040000001</v>
      </c>
      <c r="I241" s="5">
        <v>88.739997860000003</v>
      </c>
      <c r="J241" s="5">
        <v>18628000</v>
      </c>
      <c r="K241" s="5">
        <v>88.419471740000006</v>
      </c>
    </row>
    <row r="242" spans="1:11" hidden="1">
      <c r="A242" s="4">
        <v>44180</v>
      </c>
      <c r="B242" s="5">
        <f t="shared" si="12"/>
        <v>15</v>
      </c>
      <c r="C242" s="5">
        <f t="shared" si="13"/>
        <v>12</v>
      </c>
      <c r="D242" s="5">
        <f t="shared" si="14"/>
        <v>2020</v>
      </c>
      <c r="E242" s="5" t="str">
        <f t="shared" si="15"/>
        <v>Q4</v>
      </c>
      <c r="F242" s="5">
        <v>88.536003109999996</v>
      </c>
      <c r="G242" s="5">
        <v>89.489997860000003</v>
      </c>
      <c r="H242" s="5">
        <v>87.456497189999993</v>
      </c>
      <c r="I242" s="5">
        <v>87.612998959999999</v>
      </c>
      <c r="J242" s="5">
        <v>33050000</v>
      </c>
      <c r="K242" s="5">
        <v>87.29653931</v>
      </c>
    </row>
    <row r="243" spans="1:11" hidden="1">
      <c r="A243" s="4">
        <v>44181</v>
      </c>
      <c r="B243" s="5">
        <f t="shared" si="12"/>
        <v>16</v>
      </c>
      <c r="C243" s="5">
        <f t="shared" si="13"/>
        <v>12</v>
      </c>
      <c r="D243" s="5">
        <f t="shared" si="14"/>
        <v>2020</v>
      </c>
      <c r="E243" s="5" t="str">
        <f t="shared" si="15"/>
        <v>Q4</v>
      </c>
      <c r="F243" s="5">
        <v>87.992996219999995</v>
      </c>
      <c r="G243" s="5">
        <v>88.199996949999999</v>
      </c>
      <c r="H243" s="5">
        <v>87.083503719999996</v>
      </c>
      <c r="I243" s="5">
        <v>88.054000849999994</v>
      </c>
      <c r="J243" s="5">
        <v>21352000</v>
      </c>
      <c r="K243" s="5">
        <v>87.735954280000001</v>
      </c>
    </row>
    <row r="244" spans="1:11" hidden="1">
      <c r="A244" s="4">
        <v>44182</v>
      </c>
      <c r="B244" s="5">
        <f t="shared" si="12"/>
        <v>17</v>
      </c>
      <c r="C244" s="5">
        <f t="shared" si="13"/>
        <v>12</v>
      </c>
      <c r="D244" s="5">
        <f t="shared" si="14"/>
        <v>2020</v>
      </c>
      <c r="E244" s="5" t="str">
        <f t="shared" si="15"/>
        <v>Q4</v>
      </c>
      <c r="F244" s="5">
        <v>88.455497739999998</v>
      </c>
      <c r="G244" s="5">
        <v>88.455497739999998</v>
      </c>
      <c r="H244" s="5">
        <v>87.453002929999997</v>
      </c>
      <c r="I244" s="5">
        <v>87.859497070000003</v>
      </c>
      <c r="J244" s="5">
        <v>24676000</v>
      </c>
      <c r="K244" s="5">
        <v>87.542152400000006</v>
      </c>
    </row>
    <row r="245" spans="1:11" hidden="1">
      <c r="A245" s="4">
        <v>44183</v>
      </c>
      <c r="B245" s="5">
        <f t="shared" si="12"/>
        <v>18</v>
      </c>
      <c r="C245" s="5">
        <f t="shared" si="13"/>
        <v>12</v>
      </c>
      <c r="D245" s="5">
        <f t="shared" si="14"/>
        <v>2020</v>
      </c>
      <c r="E245" s="5" t="str">
        <f t="shared" si="15"/>
        <v>Q4</v>
      </c>
      <c r="F245" s="5">
        <v>88.196502690000003</v>
      </c>
      <c r="G245" s="5">
        <v>88.33550262</v>
      </c>
      <c r="H245" s="5">
        <v>86.557502749999998</v>
      </c>
      <c r="I245" s="5">
        <v>87.025497439999995</v>
      </c>
      <c r="J245" s="5">
        <v>34880000</v>
      </c>
      <c r="K245" s="5">
        <v>86.711158749999996</v>
      </c>
    </row>
    <row r="246" spans="1:11" hidden="1">
      <c r="A246" s="4">
        <v>44186</v>
      </c>
      <c r="B246" s="5">
        <f t="shared" si="12"/>
        <v>21</v>
      </c>
      <c r="C246" s="5">
        <f t="shared" si="13"/>
        <v>12</v>
      </c>
      <c r="D246" s="5">
        <f t="shared" si="14"/>
        <v>2020</v>
      </c>
      <c r="E246" s="5" t="str">
        <f t="shared" si="15"/>
        <v>Q4</v>
      </c>
      <c r="F246" s="5">
        <v>87.308502200000007</v>
      </c>
      <c r="G246" s="5">
        <v>87.417999269999996</v>
      </c>
      <c r="H246" s="5">
        <v>85.75</v>
      </c>
      <c r="I246" s="5">
        <v>86.310997009999994</v>
      </c>
      <c r="J246" s="5">
        <v>85256000</v>
      </c>
      <c r="K246" s="5">
        <v>85.999237059999999</v>
      </c>
    </row>
    <row r="247" spans="1:11" hidden="1">
      <c r="A247" s="4">
        <v>44187</v>
      </c>
      <c r="B247" s="5">
        <f t="shared" si="12"/>
        <v>22</v>
      </c>
      <c r="C247" s="5">
        <f t="shared" si="13"/>
        <v>12</v>
      </c>
      <c r="D247" s="5">
        <f t="shared" si="14"/>
        <v>2020</v>
      </c>
      <c r="E247" s="5" t="str">
        <f t="shared" si="15"/>
        <v>Q4</v>
      </c>
      <c r="F247" s="5">
        <v>85.456497189999993</v>
      </c>
      <c r="G247" s="5">
        <v>86.849998470000003</v>
      </c>
      <c r="H247" s="5">
        <v>84.699996949999999</v>
      </c>
      <c r="I247" s="5">
        <v>86.727996829999995</v>
      </c>
      <c r="J247" s="5">
        <v>33974000</v>
      </c>
      <c r="K247" s="5">
        <v>86.414741520000007</v>
      </c>
    </row>
    <row r="248" spans="1:11" hidden="1">
      <c r="A248" s="4">
        <v>44188</v>
      </c>
      <c r="B248" s="5">
        <f t="shared" si="12"/>
        <v>23</v>
      </c>
      <c r="C248" s="5">
        <f t="shared" si="13"/>
        <v>12</v>
      </c>
      <c r="D248" s="5">
        <f t="shared" si="14"/>
        <v>2020</v>
      </c>
      <c r="E248" s="5" t="str">
        <f t="shared" si="15"/>
        <v>Q4</v>
      </c>
      <c r="F248" s="5">
        <v>86.466499330000005</v>
      </c>
      <c r="G248" s="5">
        <v>86.630500789999999</v>
      </c>
      <c r="H248" s="5">
        <v>85.289001459999994</v>
      </c>
      <c r="I248" s="5">
        <v>86.011001590000006</v>
      </c>
      <c r="J248" s="5">
        <v>20370000</v>
      </c>
      <c r="K248" s="5">
        <v>85.70032501</v>
      </c>
    </row>
    <row r="249" spans="1:11" hidden="1">
      <c r="A249" s="4">
        <v>44189</v>
      </c>
      <c r="B249" s="5">
        <f t="shared" si="12"/>
        <v>24</v>
      </c>
      <c r="C249" s="5">
        <f t="shared" si="13"/>
        <v>12</v>
      </c>
      <c r="D249" s="5">
        <f t="shared" si="14"/>
        <v>2020</v>
      </c>
      <c r="E249" s="5" t="str">
        <f t="shared" si="15"/>
        <v>Q4</v>
      </c>
      <c r="F249" s="5">
        <v>86.196502690000003</v>
      </c>
      <c r="G249" s="5">
        <v>87.205497739999998</v>
      </c>
      <c r="H249" s="5">
        <v>86.059997559999999</v>
      </c>
      <c r="I249" s="5">
        <v>86.411499019999994</v>
      </c>
      <c r="J249" s="5">
        <v>22974000</v>
      </c>
      <c r="K249" s="5">
        <v>86.099380490000001</v>
      </c>
    </row>
    <row r="250" spans="1:11" hidden="1">
      <c r="A250" s="4">
        <v>44193</v>
      </c>
      <c r="B250" s="5">
        <f t="shared" si="12"/>
        <v>28</v>
      </c>
      <c r="C250" s="5">
        <f t="shared" si="13"/>
        <v>12</v>
      </c>
      <c r="D250" s="5">
        <f t="shared" si="14"/>
        <v>2020</v>
      </c>
      <c r="E250" s="5" t="str">
        <f t="shared" si="15"/>
        <v>Q4</v>
      </c>
      <c r="F250" s="5">
        <v>86.449996949999999</v>
      </c>
      <c r="G250" s="5">
        <v>87.120498659999996</v>
      </c>
      <c r="H250" s="5">
        <v>86.21749878</v>
      </c>
      <c r="I250" s="5">
        <v>86.708000179999999</v>
      </c>
      <c r="J250" s="5">
        <v>9312000</v>
      </c>
      <c r="K250" s="5">
        <v>86.394813540000001</v>
      </c>
    </row>
    <row r="251" spans="1:11" hidden="1">
      <c r="A251" s="4">
        <v>44194</v>
      </c>
      <c r="B251" s="5">
        <f t="shared" si="12"/>
        <v>29</v>
      </c>
      <c r="C251" s="5">
        <f t="shared" si="13"/>
        <v>12</v>
      </c>
      <c r="D251" s="5">
        <f t="shared" si="14"/>
        <v>2020</v>
      </c>
      <c r="E251" s="5" t="str">
        <f t="shared" si="15"/>
        <v>Q4</v>
      </c>
      <c r="F251" s="5">
        <v>87.245498659999996</v>
      </c>
      <c r="G251" s="5">
        <v>89.349998470000003</v>
      </c>
      <c r="H251" s="5">
        <v>87.091003420000007</v>
      </c>
      <c r="I251" s="5">
        <v>88.697998049999995</v>
      </c>
      <c r="J251" s="5">
        <v>27650000</v>
      </c>
      <c r="K251" s="5">
        <v>88.377616880000005</v>
      </c>
    </row>
    <row r="252" spans="1:11" hidden="1">
      <c r="A252" s="4">
        <v>44195</v>
      </c>
      <c r="B252" s="5">
        <f t="shared" si="12"/>
        <v>30</v>
      </c>
      <c r="C252" s="5">
        <f t="shared" si="13"/>
        <v>12</v>
      </c>
      <c r="D252" s="5">
        <f t="shared" si="14"/>
        <v>2020</v>
      </c>
      <c r="E252" s="5" t="str">
        <f t="shared" si="15"/>
        <v>Q4</v>
      </c>
      <c r="F252" s="5">
        <v>89.361503600000006</v>
      </c>
      <c r="G252" s="5">
        <v>89.423500059999995</v>
      </c>
      <c r="H252" s="5">
        <v>87.755500789999999</v>
      </c>
      <c r="I252" s="5">
        <v>87.888000489999996</v>
      </c>
      <c r="J252" s="5">
        <v>19726000</v>
      </c>
      <c r="K252" s="5">
        <v>87.570556640000007</v>
      </c>
    </row>
    <row r="253" spans="1:11" hidden="1">
      <c r="A253" s="4">
        <v>44196</v>
      </c>
      <c r="B253" s="5">
        <f t="shared" si="12"/>
        <v>31</v>
      </c>
      <c r="C253" s="5">
        <f t="shared" si="13"/>
        <v>12</v>
      </c>
      <c r="D253" s="5">
        <f t="shared" si="14"/>
        <v>2020</v>
      </c>
      <c r="E253" s="5" t="str">
        <f t="shared" si="15"/>
        <v>Q4</v>
      </c>
      <c r="F253" s="5">
        <v>88.25</v>
      </c>
      <c r="G253" s="5">
        <v>88.388000489999996</v>
      </c>
      <c r="H253" s="5">
        <v>86.400001529999997</v>
      </c>
      <c r="I253" s="5">
        <v>86.8125</v>
      </c>
      <c r="J253" s="5">
        <v>21026000</v>
      </c>
      <c r="K253" s="5">
        <v>86.498931880000001</v>
      </c>
    </row>
    <row r="254" spans="1:11">
      <c r="A254" s="4">
        <v>44200</v>
      </c>
      <c r="B254" s="5">
        <f t="shared" si="12"/>
        <v>4</v>
      </c>
      <c r="C254" s="5">
        <f t="shared" si="13"/>
        <v>1</v>
      </c>
      <c r="D254" s="5">
        <f t="shared" si="14"/>
        <v>2021</v>
      </c>
      <c r="E254" s="5" t="str">
        <f t="shared" si="15"/>
        <v>Q1</v>
      </c>
      <c r="F254" s="5">
        <v>86.863502499999996</v>
      </c>
      <c r="G254" s="5">
        <v>87.875</v>
      </c>
      <c r="H254" s="5">
        <v>86.80449677</v>
      </c>
      <c r="I254" s="5">
        <v>87.632003780000005</v>
      </c>
      <c r="J254" s="5">
        <v>21070000</v>
      </c>
      <c r="K254" s="5">
        <v>87.315475460000002</v>
      </c>
    </row>
    <row r="255" spans="1:11">
      <c r="A255" s="4">
        <v>44201</v>
      </c>
      <c r="B255" s="5">
        <f t="shared" si="12"/>
        <v>5</v>
      </c>
      <c r="C255" s="5">
        <f t="shared" si="13"/>
        <v>1</v>
      </c>
      <c r="D255" s="5">
        <f t="shared" si="14"/>
        <v>2021</v>
      </c>
      <c r="E255" s="5" t="str">
        <f t="shared" si="15"/>
        <v>Q1</v>
      </c>
      <c r="F255" s="5">
        <v>88</v>
      </c>
      <c r="G255" s="5">
        <v>88.124496460000003</v>
      </c>
      <c r="H255" s="5">
        <v>85.357002260000002</v>
      </c>
      <c r="I255" s="5">
        <v>86.306503300000003</v>
      </c>
      <c r="J255" s="5">
        <v>37324000</v>
      </c>
      <c r="K255" s="5">
        <v>85.994766240000004</v>
      </c>
    </row>
    <row r="256" spans="1:11">
      <c r="A256" s="4">
        <v>44202</v>
      </c>
      <c r="B256" s="5">
        <f t="shared" si="12"/>
        <v>6</v>
      </c>
      <c r="C256" s="5">
        <f t="shared" si="13"/>
        <v>1</v>
      </c>
      <c r="D256" s="5">
        <f t="shared" si="14"/>
        <v>2021</v>
      </c>
      <c r="E256" s="5" t="str">
        <f t="shared" si="15"/>
        <v>Q1</v>
      </c>
      <c r="F256" s="5">
        <v>86.254501340000004</v>
      </c>
      <c r="G256" s="5">
        <v>87.341499330000005</v>
      </c>
      <c r="H256" s="5">
        <v>85.84500122</v>
      </c>
      <c r="I256" s="5">
        <v>87.002502440000001</v>
      </c>
      <c r="J256" s="5">
        <v>20360000</v>
      </c>
      <c r="K256" s="5">
        <v>86.688247680000003</v>
      </c>
    </row>
    <row r="257" spans="1:11">
      <c r="A257" s="4">
        <v>44203</v>
      </c>
      <c r="B257" s="5">
        <f t="shared" si="12"/>
        <v>7</v>
      </c>
      <c r="C257" s="5">
        <f t="shared" si="13"/>
        <v>1</v>
      </c>
      <c r="D257" s="5">
        <f t="shared" si="14"/>
        <v>2021</v>
      </c>
      <c r="E257" s="5" t="str">
        <f t="shared" si="15"/>
        <v>Q1</v>
      </c>
      <c r="F257" s="5">
        <v>85.013000489999996</v>
      </c>
      <c r="G257" s="5">
        <v>87.198501590000006</v>
      </c>
      <c r="H257" s="5">
        <v>84.805000309999997</v>
      </c>
      <c r="I257" s="5">
        <v>86.143997189999993</v>
      </c>
      <c r="J257" s="5">
        <v>46588000</v>
      </c>
      <c r="K257" s="5">
        <v>85.832839969999995</v>
      </c>
    </row>
    <row r="258" spans="1:11">
      <c r="A258" s="4">
        <v>44204</v>
      </c>
      <c r="B258" s="5">
        <f t="shared" ref="B258:B321" si="16">DAY(A258)</f>
        <v>8</v>
      </c>
      <c r="C258" s="5">
        <f t="shared" ref="C258:C321" si="17">MONTH(A258)</f>
        <v>1</v>
      </c>
      <c r="D258" s="5">
        <f t="shared" ref="D258:D321" si="18">YEAR(A258)</f>
        <v>2021</v>
      </c>
      <c r="E258" s="5" t="str">
        <f t="shared" ref="E258:E321" si="19">"Q"&amp;ROUNDUP(MONTH(A258)/3,0)</f>
        <v>Q1</v>
      </c>
      <c r="F258" s="5">
        <v>86.337997439999995</v>
      </c>
      <c r="G258" s="5">
        <v>88.890998839999995</v>
      </c>
      <c r="H258" s="5">
        <v>86.337997439999995</v>
      </c>
      <c r="I258" s="5">
        <v>88.717002870000002</v>
      </c>
      <c r="J258" s="5">
        <v>41936000</v>
      </c>
      <c r="K258" s="5">
        <v>88.396553040000001</v>
      </c>
    </row>
    <row r="259" spans="1:11">
      <c r="A259" s="4">
        <v>44207</v>
      </c>
      <c r="B259" s="5">
        <f t="shared" si="16"/>
        <v>11</v>
      </c>
      <c r="C259" s="5">
        <f t="shared" si="17"/>
        <v>1</v>
      </c>
      <c r="D259" s="5">
        <f t="shared" si="18"/>
        <v>2021</v>
      </c>
      <c r="E259" s="5" t="str">
        <f t="shared" si="19"/>
        <v>Q1</v>
      </c>
      <c r="F259" s="5">
        <v>88.858001709999996</v>
      </c>
      <c r="G259" s="5">
        <v>89.968002319999997</v>
      </c>
      <c r="H259" s="5">
        <v>88.060997009999994</v>
      </c>
      <c r="I259" s="5">
        <v>89.891502380000006</v>
      </c>
      <c r="J259" s="5">
        <v>35484000</v>
      </c>
      <c r="K259" s="5">
        <v>89.566810610000005</v>
      </c>
    </row>
    <row r="260" spans="1:11">
      <c r="A260" s="4">
        <v>44208</v>
      </c>
      <c r="B260" s="5">
        <f t="shared" si="16"/>
        <v>12</v>
      </c>
      <c r="C260" s="5">
        <f t="shared" si="17"/>
        <v>1</v>
      </c>
      <c r="D260" s="5">
        <f t="shared" si="18"/>
        <v>2021</v>
      </c>
      <c r="E260" s="5" t="str">
        <f t="shared" si="19"/>
        <v>Q1</v>
      </c>
      <c r="F260" s="5">
        <v>88.850997919999998</v>
      </c>
      <c r="G260" s="5">
        <v>89.219001770000006</v>
      </c>
      <c r="H260" s="5">
        <v>87.607002260000002</v>
      </c>
      <c r="I260" s="5">
        <v>87.814498900000004</v>
      </c>
      <c r="J260" s="5">
        <v>34796000</v>
      </c>
      <c r="K260" s="5">
        <v>87.497314450000005</v>
      </c>
    </row>
    <row r="261" spans="1:11">
      <c r="A261" s="4">
        <v>44209</v>
      </c>
      <c r="B261" s="5">
        <f t="shared" si="16"/>
        <v>13</v>
      </c>
      <c r="C261" s="5">
        <f t="shared" si="17"/>
        <v>1</v>
      </c>
      <c r="D261" s="5">
        <f t="shared" si="18"/>
        <v>2021</v>
      </c>
      <c r="E261" s="5" t="str">
        <f t="shared" si="19"/>
        <v>Q1</v>
      </c>
      <c r="F261" s="5">
        <v>87.267997739999998</v>
      </c>
      <c r="G261" s="5">
        <v>88.394996640000002</v>
      </c>
      <c r="H261" s="5">
        <v>85.819000239999994</v>
      </c>
      <c r="I261" s="5">
        <v>86.871498110000005</v>
      </c>
      <c r="J261" s="5">
        <v>29528000</v>
      </c>
      <c r="K261" s="5">
        <v>86.557716369999994</v>
      </c>
    </row>
    <row r="262" spans="1:11">
      <c r="A262" s="4">
        <v>44210</v>
      </c>
      <c r="B262" s="5">
        <f t="shared" si="16"/>
        <v>14</v>
      </c>
      <c r="C262" s="5">
        <f t="shared" si="17"/>
        <v>1</v>
      </c>
      <c r="D262" s="5">
        <f t="shared" si="18"/>
        <v>2021</v>
      </c>
      <c r="E262" s="5" t="str">
        <f t="shared" si="19"/>
        <v>Q1</v>
      </c>
      <c r="F262" s="5">
        <v>86.365997309999997</v>
      </c>
      <c r="G262" s="5">
        <v>87.819503780000005</v>
      </c>
      <c r="H262" s="5">
        <v>86.365997309999997</v>
      </c>
      <c r="I262" s="5">
        <v>87.362503050000001</v>
      </c>
      <c r="J262" s="5">
        <v>23432000</v>
      </c>
      <c r="K262" s="5">
        <v>87.046958919999994</v>
      </c>
    </row>
    <row r="263" spans="1:11">
      <c r="A263" s="4">
        <v>44211</v>
      </c>
      <c r="B263" s="5">
        <f t="shared" si="16"/>
        <v>15</v>
      </c>
      <c r="C263" s="5">
        <f t="shared" si="17"/>
        <v>1</v>
      </c>
      <c r="D263" s="5">
        <f t="shared" si="18"/>
        <v>2021</v>
      </c>
      <c r="E263" s="5" t="str">
        <f t="shared" si="19"/>
        <v>Q1</v>
      </c>
      <c r="F263" s="5">
        <v>87.443496699999997</v>
      </c>
      <c r="G263" s="5">
        <v>88.377502440000001</v>
      </c>
      <c r="H263" s="5">
        <v>86.303497309999997</v>
      </c>
      <c r="I263" s="5">
        <v>86.545997619999994</v>
      </c>
      <c r="J263" s="5">
        <v>29212000</v>
      </c>
      <c r="K263" s="5">
        <v>86.233398440000002</v>
      </c>
    </row>
    <row r="264" spans="1:11">
      <c r="A264" s="4">
        <v>44215</v>
      </c>
      <c r="B264" s="5">
        <f t="shared" si="16"/>
        <v>19</v>
      </c>
      <c r="C264" s="5">
        <f t="shared" si="17"/>
        <v>1</v>
      </c>
      <c r="D264" s="5">
        <f t="shared" si="18"/>
        <v>2021</v>
      </c>
      <c r="E264" s="5" t="str">
        <f t="shared" si="19"/>
        <v>Q1</v>
      </c>
      <c r="F264" s="5">
        <v>86.450996399999994</v>
      </c>
      <c r="G264" s="5">
        <v>87.380996699999997</v>
      </c>
      <c r="H264" s="5">
        <v>85.58550262</v>
      </c>
      <c r="I264" s="5">
        <v>86.380996699999997</v>
      </c>
      <c r="J264" s="5">
        <v>31444000</v>
      </c>
      <c r="K264" s="5">
        <v>86.068992609999995</v>
      </c>
    </row>
    <row r="265" spans="1:11">
      <c r="A265" s="4">
        <v>44216</v>
      </c>
      <c r="B265" s="5">
        <f t="shared" si="16"/>
        <v>20</v>
      </c>
      <c r="C265" s="5">
        <f t="shared" si="17"/>
        <v>1</v>
      </c>
      <c r="D265" s="5">
        <f t="shared" si="18"/>
        <v>2021</v>
      </c>
      <c r="E265" s="5" t="str">
        <f t="shared" si="19"/>
        <v>Q1</v>
      </c>
      <c r="F265" s="5">
        <v>87.150001529999997</v>
      </c>
      <c r="G265" s="5">
        <v>90.192001340000004</v>
      </c>
      <c r="H265" s="5">
        <v>86.641502380000006</v>
      </c>
      <c r="I265" s="5">
        <v>89.223503109999996</v>
      </c>
      <c r="J265" s="5">
        <v>41660000</v>
      </c>
      <c r="K265" s="5">
        <v>88.901229860000001</v>
      </c>
    </row>
    <row r="266" spans="1:11">
      <c r="A266" s="4">
        <v>44217</v>
      </c>
      <c r="B266" s="5">
        <f t="shared" si="16"/>
        <v>21</v>
      </c>
      <c r="C266" s="5">
        <f t="shared" si="17"/>
        <v>1</v>
      </c>
      <c r="D266" s="5">
        <f t="shared" si="18"/>
        <v>2021</v>
      </c>
      <c r="E266" s="5" t="str">
        <f t="shared" si="19"/>
        <v>Q1</v>
      </c>
      <c r="F266" s="5">
        <v>91.318496699999997</v>
      </c>
      <c r="G266" s="5">
        <v>94.986000059999995</v>
      </c>
      <c r="H266" s="5">
        <v>90.97550201</v>
      </c>
      <c r="I266" s="5">
        <v>94.003501889999995</v>
      </c>
      <c r="J266" s="5">
        <v>64152000</v>
      </c>
      <c r="K266" s="5">
        <v>93.663963319999993</v>
      </c>
    </row>
    <row r="267" spans="1:11">
      <c r="A267" s="4">
        <v>44218</v>
      </c>
      <c r="B267" s="5">
        <f t="shared" si="16"/>
        <v>22</v>
      </c>
      <c r="C267" s="5">
        <f t="shared" si="17"/>
        <v>1</v>
      </c>
      <c r="D267" s="5">
        <f t="shared" si="18"/>
        <v>2021</v>
      </c>
      <c r="E267" s="5" t="str">
        <f t="shared" si="19"/>
        <v>Q1</v>
      </c>
      <c r="F267" s="5">
        <v>94.682502749999998</v>
      </c>
      <c r="G267" s="5">
        <v>96.603996280000004</v>
      </c>
      <c r="H267" s="5">
        <v>93.970497129999998</v>
      </c>
      <c r="I267" s="5">
        <v>94.207496640000002</v>
      </c>
      <c r="J267" s="5">
        <v>58634000</v>
      </c>
      <c r="K267" s="5">
        <v>93.867218019999996</v>
      </c>
    </row>
    <row r="268" spans="1:11">
      <c r="A268" s="4">
        <v>44221</v>
      </c>
      <c r="B268" s="5">
        <f t="shared" si="16"/>
        <v>25</v>
      </c>
      <c r="C268" s="5">
        <f t="shared" si="17"/>
        <v>1</v>
      </c>
      <c r="D268" s="5">
        <f t="shared" si="18"/>
        <v>2021</v>
      </c>
      <c r="E268" s="5" t="str">
        <f t="shared" si="19"/>
        <v>Q1</v>
      </c>
      <c r="F268" s="5">
        <v>94.572998049999995</v>
      </c>
      <c r="G268" s="5">
        <v>95.219497680000003</v>
      </c>
      <c r="H268" s="5">
        <v>93.824996949999999</v>
      </c>
      <c r="I268" s="5">
        <v>94.627998349999999</v>
      </c>
      <c r="J268" s="5">
        <v>32744000</v>
      </c>
      <c r="K268" s="5">
        <v>94.286201480000003</v>
      </c>
    </row>
    <row r="269" spans="1:11">
      <c r="A269" s="4">
        <v>44222</v>
      </c>
      <c r="B269" s="5">
        <f t="shared" si="16"/>
        <v>26</v>
      </c>
      <c r="C269" s="5">
        <f t="shared" si="17"/>
        <v>1</v>
      </c>
      <c r="D269" s="5">
        <f t="shared" si="18"/>
        <v>2021</v>
      </c>
      <c r="E269" s="5" t="str">
        <f t="shared" si="19"/>
        <v>Q1</v>
      </c>
      <c r="F269" s="5">
        <v>95.637001040000001</v>
      </c>
      <c r="G269" s="5">
        <v>96.091003420000007</v>
      </c>
      <c r="H269" s="5">
        <v>92.958000179999999</v>
      </c>
      <c r="I269" s="5">
        <v>94.713996890000004</v>
      </c>
      <c r="J269" s="5">
        <v>50586000</v>
      </c>
      <c r="K269" s="5">
        <v>94.371887209999997</v>
      </c>
    </row>
    <row r="270" spans="1:11">
      <c r="A270" s="4">
        <v>44223</v>
      </c>
      <c r="B270" s="5">
        <f t="shared" si="16"/>
        <v>27</v>
      </c>
      <c r="C270" s="5">
        <f t="shared" si="17"/>
        <v>1</v>
      </c>
      <c r="D270" s="5">
        <f t="shared" si="18"/>
        <v>2021</v>
      </c>
      <c r="E270" s="5" t="str">
        <f t="shared" si="19"/>
        <v>Q1</v>
      </c>
      <c r="F270" s="5">
        <v>94.299499510000004</v>
      </c>
      <c r="G270" s="5">
        <v>95.787498470000003</v>
      </c>
      <c r="H270" s="5">
        <v>93.806503300000003</v>
      </c>
      <c r="I270" s="5">
        <v>95.397499080000003</v>
      </c>
      <c r="J270" s="5">
        <v>31462000</v>
      </c>
      <c r="K270" s="5">
        <v>95.052925110000004</v>
      </c>
    </row>
    <row r="271" spans="1:11">
      <c r="A271" s="4">
        <v>44224</v>
      </c>
      <c r="B271" s="5">
        <f t="shared" si="16"/>
        <v>28</v>
      </c>
      <c r="C271" s="5">
        <f t="shared" si="17"/>
        <v>1</v>
      </c>
      <c r="D271" s="5">
        <f t="shared" si="18"/>
        <v>2021</v>
      </c>
      <c r="E271" s="5" t="str">
        <f t="shared" si="19"/>
        <v>Q1</v>
      </c>
      <c r="F271" s="5">
        <v>93.745498659999996</v>
      </c>
      <c r="G271" s="5">
        <v>94.023498540000006</v>
      </c>
      <c r="H271" s="5">
        <v>89.863998409999994</v>
      </c>
      <c r="I271" s="5">
        <v>90.946998600000001</v>
      </c>
      <c r="J271" s="5">
        <v>82512000</v>
      </c>
      <c r="K271" s="5">
        <v>90.618499760000006</v>
      </c>
    </row>
    <row r="272" spans="1:11">
      <c r="A272" s="4">
        <v>44225</v>
      </c>
      <c r="B272" s="5">
        <f t="shared" si="16"/>
        <v>29</v>
      </c>
      <c r="C272" s="5">
        <f t="shared" si="17"/>
        <v>1</v>
      </c>
      <c r="D272" s="5">
        <f t="shared" si="18"/>
        <v>2021</v>
      </c>
      <c r="E272" s="5" t="str">
        <f t="shared" si="19"/>
        <v>Q1</v>
      </c>
      <c r="F272" s="5">
        <v>91.550003050000001</v>
      </c>
      <c r="G272" s="5">
        <v>94.39949799</v>
      </c>
      <c r="H272" s="5">
        <v>91.550003050000001</v>
      </c>
      <c r="I272" s="5">
        <v>92.660003660000001</v>
      </c>
      <c r="J272" s="5">
        <v>55278000</v>
      </c>
      <c r="K272" s="5">
        <v>92.325317380000001</v>
      </c>
    </row>
    <row r="273" spans="1:11">
      <c r="A273" s="4">
        <v>44228</v>
      </c>
      <c r="B273" s="5">
        <f t="shared" si="16"/>
        <v>1</v>
      </c>
      <c r="C273" s="5">
        <f t="shared" si="17"/>
        <v>2</v>
      </c>
      <c r="D273" s="5">
        <f t="shared" si="18"/>
        <v>2021</v>
      </c>
      <c r="E273" s="5" t="str">
        <f t="shared" si="19"/>
        <v>Q1</v>
      </c>
      <c r="F273" s="5">
        <v>91.700996399999994</v>
      </c>
      <c r="G273" s="5">
        <v>92.376998900000004</v>
      </c>
      <c r="H273" s="5">
        <v>90.078002929999997</v>
      </c>
      <c r="I273" s="5">
        <v>91.367996219999995</v>
      </c>
      <c r="J273" s="5">
        <v>44530000</v>
      </c>
      <c r="K273" s="5">
        <v>91.037979129999997</v>
      </c>
    </row>
    <row r="274" spans="1:11">
      <c r="A274" s="4">
        <v>44229</v>
      </c>
      <c r="B274" s="5">
        <f t="shared" si="16"/>
        <v>2</v>
      </c>
      <c r="C274" s="5">
        <f t="shared" si="17"/>
        <v>2</v>
      </c>
      <c r="D274" s="5">
        <f t="shared" si="18"/>
        <v>2021</v>
      </c>
      <c r="E274" s="5" t="str">
        <f t="shared" si="19"/>
        <v>Q1</v>
      </c>
      <c r="F274" s="5">
        <v>92.229499820000001</v>
      </c>
      <c r="G274" s="5">
        <v>95.777000430000001</v>
      </c>
      <c r="H274" s="5">
        <v>92.229499820000001</v>
      </c>
      <c r="I274" s="5">
        <v>94.653503420000007</v>
      </c>
      <c r="J274" s="5">
        <v>40252000</v>
      </c>
      <c r="K274" s="5">
        <v>94.311622619999994</v>
      </c>
    </row>
    <row r="275" spans="1:11">
      <c r="A275" s="4">
        <v>44230</v>
      </c>
      <c r="B275" s="5">
        <f t="shared" si="16"/>
        <v>3</v>
      </c>
      <c r="C275" s="5">
        <f t="shared" si="17"/>
        <v>2</v>
      </c>
      <c r="D275" s="5">
        <f t="shared" si="18"/>
        <v>2021</v>
      </c>
      <c r="E275" s="5" t="str">
        <f t="shared" si="19"/>
        <v>Q1</v>
      </c>
      <c r="F275" s="5">
        <v>95.656501770000006</v>
      </c>
      <c r="G275" s="5">
        <v>97.468498229999994</v>
      </c>
      <c r="H275" s="5">
        <v>95.318496699999997</v>
      </c>
      <c r="I275" s="5">
        <v>95.956001279999995</v>
      </c>
      <c r="J275" s="5">
        <v>66332000</v>
      </c>
      <c r="K275" s="5">
        <v>95.609405519999996</v>
      </c>
    </row>
    <row r="276" spans="1:11">
      <c r="A276" s="4">
        <v>44231</v>
      </c>
      <c r="B276" s="5">
        <f t="shared" si="16"/>
        <v>4</v>
      </c>
      <c r="C276" s="5">
        <f t="shared" si="17"/>
        <v>2</v>
      </c>
      <c r="D276" s="5">
        <f t="shared" si="18"/>
        <v>2021</v>
      </c>
      <c r="E276" s="5" t="str">
        <f t="shared" si="19"/>
        <v>Q1</v>
      </c>
      <c r="F276" s="5">
        <v>103.28050229999999</v>
      </c>
      <c r="G276" s="5">
        <v>105.3310013</v>
      </c>
      <c r="H276" s="5">
        <v>100.67749790000001</v>
      </c>
      <c r="I276" s="5">
        <v>102.9440002</v>
      </c>
      <c r="J276" s="5">
        <v>97882000</v>
      </c>
      <c r="K276" s="5">
        <v>102.5721741</v>
      </c>
    </row>
    <row r="277" spans="1:11">
      <c r="A277" s="4">
        <v>44232</v>
      </c>
      <c r="B277" s="5">
        <f t="shared" si="16"/>
        <v>5</v>
      </c>
      <c r="C277" s="5">
        <f t="shared" si="17"/>
        <v>2</v>
      </c>
      <c r="D277" s="5">
        <f t="shared" si="18"/>
        <v>2021</v>
      </c>
      <c r="E277" s="5" t="str">
        <f t="shared" si="19"/>
        <v>Q1</v>
      </c>
      <c r="F277" s="5">
        <v>103.0309982</v>
      </c>
      <c r="G277" s="5">
        <v>103.4649963</v>
      </c>
      <c r="H277" s="5">
        <v>101.7549973</v>
      </c>
      <c r="I277" s="5">
        <v>102.6815033</v>
      </c>
      <c r="J277" s="5">
        <v>48596000</v>
      </c>
      <c r="K277" s="5">
        <v>102.3106155</v>
      </c>
    </row>
    <row r="278" spans="1:11">
      <c r="A278" s="4">
        <v>44235</v>
      </c>
      <c r="B278" s="5">
        <f t="shared" si="16"/>
        <v>8</v>
      </c>
      <c r="C278" s="5">
        <f t="shared" si="17"/>
        <v>2</v>
      </c>
      <c r="D278" s="5">
        <f t="shared" si="18"/>
        <v>2021</v>
      </c>
      <c r="E278" s="5" t="str">
        <f t="shared" si="19"/>
        <v>Q1</v>
      </c>
      <c r="F278" s="5">
        <v>102.9779968</v>
      </c>
      <c r="G278" s="5">
        <v>104.7969971</v>
      </c>
      <c r="H278" s="5">
        <v>102.5</v>
      </c>
      <c r="I278" s="5">
        <v>104.44149779999999</v>
      </c>
      <c r="J278" s="5">
        <v>29866000</v>
      </c>
      <c r="K278" s="5">
        <v>104.0642624</v>
      </c>
    </row>
    <row r="279" spans="1:11">
      <c r="A279" s="4">
        <v>44236</v>
      </c>
      <c r="B279" s="5">
        <f t="shared" si="16"/>
        <v>9</v>
      </c>
      <c r="C279" s="5">
        <f t="shared" si="17"/>
        <v>2</v>
      </c>
      <c r="D279" s="5">
        <f t="shared" si="18"/>
        <v>2021</v>
      </c>
      <c r="E279" s="5" t="str">
        <f t="shared" si="19"/>
        <v>Q1</v>
      </c>
      <c r="F279" s="5">
        <v>105</v>
      </c>
      <c r="G279" s="5">
        <v>105.75</v>
      </c>
      <c r="H279" s="5">
        <v>103.1675034</v>
      </c>
      <c r="I279" s="5">
        <v>104.2259979</v>
      </c>
      <c r="J279" s="5">
        <v>28828000</v>
      </c>
      <c r="K279" s="5">
        <v>103.8495331</v>
      </c>
    </row>
    <row r="280" spans="1:11">
      <c r="A280" s="4">
        <v>44237</v>
      </c>
      <c r="B280" s="5">
        <f t="shared" si="16"/>
        <v>10</v>
      </c>
      <c r="C280" s="5">
        <f t="shared" si="17"/>
        <v>2</v>
      </c>
      <c r="D280" s="5">
        <f t="shared" si="18"/>
        <v>2021</v>
      </c>
      <c r="E280" s="5" t="str">
        <f t="shared" si="19"/>
        <v>Q1</v>
      </c>
      <c r="F280" s="5">
        <v>103.73999790000001</v>
      </c>
      <c r="G280" s="5">
        <v>104.925499</v>
      </c>
      <c r="H280" s="5">
        <v>103.5</v>
      </c>
      <c r="I280" s="5">
        <v>103.76950069999999</v>
      </c>
      <c r="J280" s="5">
        <v>21892000</v>
      </c>
      <c r="K280" s="5">
        <v>103.3946838</v>
      </c>
    </row>
    <row r="281" spans="1:11">
      <c r="A281" s="4">
        <v>44238</v>
      </c>
      <c r="B281" s="5">
        <f t="shared" si="16"/>
        <v>11</v>
      </c>
      <c r="C281" s="5">
        <f t="shared" si="17"/>
        <v>2</v>
      </c>
      <c r="D281" s="5">
        <f t="shared" si="18"/>
        <v>2021</v>
      </c>
      <c r="E281" s="5" t="str">
        <f t="shared" si="19"/>
        <v>Q1</v>
      </c>
      <c r="F281" s="5">
        <v>104.15699770000001</v>
      </c>
      <c r="G281" s="5">
        <v>104.9440002</v>
      </c>
      <c r="H281" s="5">
        <v>102.6119995</v>
      </c>
      <c r="I281" s="5">
        <v>104.3239975</v>
      </c>
      <c r="J281" s="5">
        <v>25102000</v>
      </c>
      <c r="K281" s="5">
        <v>103.9471817</v>
      </c>
    </row>
    <row r="282" spans="1:11">
      <c r="A282" s="4">
        <v>44239</v>
      </c>
      <c r="B282" s="5">
        <f t="shared" si="16"/>
        <v>12</v>
      </c>
      <c r="C282" s="5">
        <f t="shared" si="17"/>
        <v>2</v>
      </c>
      <c r="D282" s="5">
        <f t="shared" si="18"/>
        <v>2021</v>
      </c>
      <c r="E282" s="5" t="str">
        <f t="shared" si="19"/>
        <v>Q1</v>
      </c>
      <c r="F282" s="5">
        <v>104.5500031</v>
      </c>
      <c r="G282" s="5">
        <v>104.6999969</v>
      </c>
      <c r="H282" s="5">
        <v>103.44300079999999</v>
      </c>
      <c r="I282" s="5">
        <v>104.4375</v>
      </c>
      <c r="J282" s="5">
        <v>20480000</v>
      </c>
      <c r="K282" s="5">
        <v>104.0602646</v>
      </c>
    </row>
    <row r="283" spans="1:11">
      <c r="A283" s="4">
        <v>44243</v>
      </c>
      <c r="B283" s="5">
        <f t="shared" si="16"/>
        <v>16</v>
      </c>
      <c r="C283" s="5">
        <f t="shared" si="17"/>
        <v>2</v>
      </c>
      <c r="D283" s="5">
        <f t="shared" si="18"/>
        <v>2021</v>
      </c>
      <c r="E283" s="5" t="str">
        <f t="shared" si="19"/>
        <v>Q1</v>
      </c>
      <c r="F283" s="5">
        <v>103.9885025</v>
      </c>
      <c r="G283" s="5">
        <v>104.9749985</v>
      </c>
      <c r="H283" s="5">
        <v>103.6784973</v>
      </c>
      <c r="I283" s="5">
        <v>104.751503</v>
      </c>
      <c r="J283" s="5">
        <v>18990000</v>
      </c>
      <c r="K283" s="5">
        <v>104.3731384</v>
      </c>
    </row>
    <row r="284" spans="1:11">
      <c r="A284" s="4">
        <v>44244</v>
      </c>
      <c r="B284" s="5">
        <f t="shared" si="16"/>
        <v>17</v>
      </c>
      <c r="C284" s="5">
        <f t="shared" si="17"/>
        <v>2</v>
      </c>
      <c r="D284" s="5">
        <f t="shared" si="18"/>
        <v>2021</v>
      </c>
      <c r="E284" s="5" t="str">
        <f t="shared" si="19"/>
        <v>Q1</v>
      </c>
      <c r="F284" s="5">
        <v>104.5875015</v>
      </c>
      <c r="G284" s="5">
        <v>107.25700380000001</v>
      </c>
      <c r="H284" s="5">
        <v>104.5875015</v>
      </c>
      <c r="I284" s="5">
        <v>105.5350037</v>
      </c>
      <c r="J284" s="5">
        <v>31004000</v>
      </c>
      <c r="K284" s="5">
        <v>105.15381619999999</v>
      </c>
    </row>
    <row r="285" spans="1:11">
      <c r="A285" s="4">
        <v>44245</v>
      </c>
      <c r="B285" s="5">
        <f t="shared" si="16"/>
        <v>18</v>
      </c>
      <c r="C285" s="5">
        <f t="shared" si="17"/>
        <v>2</v>
      </c>
      <c r="D285" s="5">
        <f t="shared" si="18"/>
        <v>2021</v>
      </c>
      <c r="E285" s="5" t="str">
        <f t="shared" si="19"/>
        <v>Q1</v>
      </c>
      <c r="F285" s="5">
        <v>104.6989975</v>
      </c>
      <c r="G285" s="5">
        <v>106.1220016</v>
      </c>
      <c r="H285" s="5">
        <v>104.4175034</v>
      </c>
      <c r="I285" s="5">
        <v>105.9309998</v>
      </c>
      <c r="J285" s="5">
        <v>20294000</v>
      </c>
      <c r="K285" s="5">
        <v>105.5483704</v>
      </c>
    </row>
    <row r="286" spans="1:11">
      <c r="A286" s="4">
        <v>44246</v>
      </c>
      <c r="B286" s="5">
        <f t="shared" si="16"/>
        <v>19</v>
      </c>
      <c r="C286" s="5">
        <f t="shared" si="17"/>
        <v>2</v>
      </c>
      <c r="D286" s="5">
        <f t="shared" si="18"/>
        <v>2021</v>
      </c>
      <c r="E286" s="5" t="str">
        <f t="shared" si="19"/>
        <v>Q1</v>
      </c>
      <c r="F286" s="5">
        <v>105.25</v>
      </c>
      <c r="G286" s="5">
        <v>106.09950259999999</v>
      </c>
      <c r="H286" s="5">
        <v>104.66649630000001</v>
      </c>
      <c r="I286" s="5">
        <v>105.2904968</v>
      </c>
      <c r="J286" s="5">
        <v>22546000</v>
      </c>
      <c r="K286" s="5">
        <v>104.91017909999999</v>
      </c>
    </row>
    <row r="287" spans="1:11">
      <c r="A287" s="4">
        <v>44249</v>
      </c>
      <c r="B287" s="5">
        <f t="shared" si="16"/>
        <v>22</v>
      </c>
      <c r="C287" s="5">
        <f t="shared" si="17"/>
        <v>2</v>
      </c>
      <c r="D287" s="5">
        <f t="shared" si="18"/>
        <v>2021</v>
      </c>
      <c r="E287" s="5" t="str">
        <f t="shared" si="19"/>
        <v>Q1</v>
      </c>
      <c r="F287" s="5">
        <v>105.3895035</v>
      </c>
      <c r="G287" s="5">
        <v>105.92900090000001</v>
      </c>
      <c r="H287" s="5">
        <v>104.17150119999999</v>
      </c>
      <c r="I287" s="5">
        <v>104.4404984</v>
      </c>
      <c r="J287" s="5">
        <v>37938000</v>
      </c>
      <c r="K287" s="5">
        <v>104.0632629</v>
      </c>
    </row>
    <row r="288" spans="1:11">
      <c r="A288" s="4">
        <v>44250</v>
      </c>
      <c r="B288" s="5">
        <f t="shared" si="16"/>
        <v>23</v>
      </c>
      <c r="C288" s="5">
        <f t="shared" si="17"/>
        <v>2</v>
      </c>
      <c r="D288" s="5">
        <f t="shared" si="18"/>
        <v>2021</v>
      </c>
      <c r="E288" s="5" t="str">
        <f t="shared" si="19"/>
        <v>Q1</v>
      </c>
      <c r="F288" s="5">
        <v>102.6800003</v>
      </c>
      <c r="G288" s="5">
        <v>104.01650239999999</v>
      </c>
      <c r="H288" s="5">
        <v>102.4000015</v>
      </c>
      <c r="I288" s="5">
        <v>102.71299740000001</v>
      </c>
      <c r="J288" s="5">
        <v>29466000</v>
      </c>
      <c r="K288" s="5">
        <v>102.3420029</v>
      </c>
    </row>
    <row r="289" spans="1:11">
      <c r="A289" s="4">
        <v>44251</v>
      </c>
      <c r="B289" s="5">
        <f t="shared" si="16"/>
        <v>24</v>
      </c>
      <c r="C289" s="5">
        <f t="shared" si="17"/>
        <v>2</v>
      </c>
      <c r="D289" s="5">
        <f t="shared" si="18"/>
        <v>2021</v>
      </c>
      <c r="E289" s="5" t="str">
        <f t="shared" si="19"/>
        <v>Q1</v>
      </c>
      <c r="F289" s="5">
        <v>100.699501</v>
      </c>
      <c r="G289" s="5">
        <v>103.625</v>
      </c>
      <c r="H289" s="5">
        <v>99.511497500000004</v>
      </c>
      <c r="I289" s="5">
        <v>103.0059967</v>
      </c>
      <c r="J289" s="5">
        <v>34658000</v>
      </c>
      <c r="K289" s="5">
        <v>102.63394169999999</v>
      </c>
    </row>
    <row r="290" spans="1:11">
      <c r="A290" s="4">
        <v>44252</v>
      </c>
      <c r="B290" s="5">
        <f t="shared" si="16"/>
        <v>25</v>
      </c>
      <c r="C290" s="5">
        <f t="shared" si="17"/>
        <v>2</v>
      </c>
      <c r="D290" s="5">
        <f t="shared" si="18"/>
        <v>2021</v>
      </c>
      <c r="E290" s="5" t="str">
        <f t="shared" si="19"/>
        <v>Q1</v>
      </c>
      <c r="F290" s="5">
        <v>101.5019989</v>
      </c>
      <c r="G290" s="5">
        <v>104.4160004</v>
      </c>
      <c r="H290" s="5">
        <v>101.376503</v>
      </c>
      <c r="I290" s="5">
        <v>104.1904984</v>
      </c>
      <c r="J290" s="5">
        <v>22608000</v>
      </c>
      <c r="K290" s="5">
        <v>103.8141632</v>
      </c>
    </row>
    <row r="291" spans="1:11">
      <c r="A291" s="4">
        <v>44253</v>
      </c>
      <c r="B291" s="5">
        <f t="shared" si="16"/>
        <v>26</v>
      </c>
      <c r="C291" s="5">
        <f t="shared" si="17"/>
        <v>2</v>
      </c>
      <c r="D291" s="5">
        <f t="shared" si="18"/>
        <v>2021</v>
      </c>
      <c r="E291" s="5" t="str">
        <f t="shared" si="19"/>
        <v>Q1</v>
      </c>
      <c r="F291" s="5">
        <v>102.79650119999999</v>
      </c>
      <c r="G291" s="5">
        <v>104.1500015</v>
      </c>
      <c r="H291" s="5">
        <v>100.324501</v>
      </c>
      <c r="I291" s="5">
        <v>100.79750060000001</v>
      </c>
      <c r="J291" s="5">
        <v>41548000</v>
      </c>
      <c r="K291" s="5">
        <v>100.4334259</v>
      </c>
    </row>
    <row r="292" spans="1:11">
      <c r="A292" s="4">
        <v>44256</v>
      </c>
      <c r="B292" s="5">
        <f t="shared" si="16"/>
        <v>1</v>
      </c>
      <c r="C292" s="5">
        <f t="shared" si="17"/>
        <v>3</v>
      </c>
      <c r="D292" s="5">
        <f t="shared" si="18"/>
        <v>2021</v>
      </c>
      <c r="E292" s="5" t="str">
        <f t="shared" si="19"/>
        <v>Q1</v>
      </c>
      <c r="F292" s="5">
        <v>101.4974976</v>
      </c>
      <c r="G292" s="5">
        <v>102.82599639999999</v>
      </c>
      <c r="H292" s="5">
        <v>100.050499</v>
      </c>
      <c r="I292" s="5">
        <v>101.0954971</v>
      </c>
      <c r="J292" s="5">
        <v>40042000</v>
      </c>
      <c r="K292" s="5">
        <v>100.73033909999999</v>
      </c>
    </row>
    <row r="293" spans="1:11">
      <c r="A293" s="4">
        <v>44257</v>
      </c>
      <c r="B293" s="5">
        <f t="shared" si="16"/>
        <v>2</v>
      </c>
      <c r="C293" s="5">
        <f t="shared" si="17"/>
        <v>3</v>
      </c>
      <c r="D293" s="5">
        <f t="shared" si="18"/>
        <v>2021</v>
      </c>
      <c r="E293" s="5" t="str">
        <f t="shared" si="19"/>
        <v>Q1</v>
      </c>
      <c r="F293" s="5">
        <v>102.4000015</v>
      </c>
      <c r="G293" s="5">
        <v>103.81150049999999</v>
      </c>
      <c r="H293" s="5">
        <v>101.7210007</v>
      </c>
      <c r="I293" s="5">
        <v>103.4830017</v>
      </c>
      <c r="J293" s="5">
        <v>26060000</v>
      </c>
      <c r="K293" s="5">
        <v>103.10922239999999</v>
      </c>
    </row>
    <row r="294" spans="1:11">
      <c r="A294" s="4">
        <v>44258</v>
      </c>
      <c r="B294" s="5">
        <f t="shared" si="16"/>
        <v>3</v>
      </c>
      <c r="C294" s="5">
        <f t="shared" si="17"/>
        <v>3</v>
      </c>
      <c r="D294" s="5">
        <f t="shared" si="18"/>
        <v>2021</v>
      </c>
      <c r="E294" s="5" t="str">
        <f t="shared" si="19"/>
        <v>Q1</v>
      </c>
      <c r="F294" s="5">
        <v>103.2419968</v>
      </c>
      <c r="G294" s="5">
        <v>104.7369995</v>
      </c>
      <c r="H294" s="5">
        <v>102.83350369999999</v>
      </c>
      <c r="I294" s="5">
        <v>103.22399900000001</v>
      </c>
      <c r="J294" s="5">
        <v>25564000</v>
      </c>
      <c r="K294" s="5">
        <v>102.85115810000001</v>
      </c>
    </row>
    <row r="295" spans="1:11">
      <c r="A295" s="4">
        <v>44259</v>
      </c>
      <c r="B295" s="5">
        <f t="shared" si="16"/>
        <v>4</v>
      </c>
      <c r="C295" s="5">
        <f t="shared" si="17"/>
        <v>3</v>
      </c>
      <c r="D295" s="5">
        <f t="shared" si="18"/>
        <v>2021</v>
      </c>
      <c r="E295" s="5" t="str">
        <f t="shared" si="19"/>
        <v>Q1</v>
      </c>
      <c r="F295" s="5">
        <v>102.5975037</v>
      </c>
      <c r="G295" s="5">
        <v>103.7994995</v>
      </c>
      <c r="H295" s="5">
        <v>99.699996949999999</v>
      </c>
      <c r="I295" s="5">
        <v>100.5705032</v>
      </c>
      <c r="J295" s="5">
        <v>33892000</v>
      </c>
      <c r="K295" s="5">
        <v>100.20724490000001</v>
      </c>
    </row>
    <row r="296" spans="1:11">
      <c r="A296" s="4">
        <v>44260</v>
      </c>
      <c r="B296" s="5">
        <f t="shared" si="16"/>
        <v>5</v>
      </c>
      <c r="C296" s="5">
        <f t="shared" si="17"/>
        <v>3</v>
      </c>
      <c r="D296" s="5">
        <f t="shared" si="18"/>
        <v>2021</v>
      </c>
      <c r="E296" s="5" t="str">
        <f t="shared" si="19"/>
        <v>Q1</v>
      </c>
      <c r="F296" s="5">
        <v>100.7434998</v>
      </c>
      <c r="G296" s="5">
        <v>103.7294998</v>
      </c>
      <c r="H296" s="5">
        <v>100.2714996</v>
      </c>
      <c r="I296" s="5">
        <v>101.6965027</v>
      </c>
      <c r="J296" s="5">
        <v>49216000</v>
      </c>
      <c r="K296" s="5">
        <v>101.3291779</v>
      </c>
    </row>
    <row r="297" spans="1:11">
      <c r="A297" s="4">
        <v>44263</v>
      </c>
      <c r="B297" s="5">
        <f t="shared" si="16"/>
        <v>8</v>
      </c>
      <c r="C297" s="5">
        <f t="shared" si="17"/>
        <v>3</v>
      </c>
      <c r="D297" s="5">
        <f t="shared" si="18"/>
        <v>2021</v>
      </c>
      <c r="E297" s="5" t="str">
        <f t="shared" si="19"/>
        <v>Q1</v>
      </c>
      <c r="F297" s="5">
        <v>103.0575027</v>
      </c>
      <c r="G297" s="5">
        <v>105.3099976</v>
      </c>
      <c r="H297" s="5">
        <v>101.3889999</v>
      </c>
      <c r="I297" s="5">
        <v>104.8535004</v>
      </c>
      <c r="J297" s="5">
        <v>53100000</v>
      </c>
      <c r="K297" s="5">
        <v>104.4747696</v>
      </c>
    </row>
    <row r="298" spans="1:11">
      <c r="A298" s="4">
        <v>44264</v>
      </c>
      <c r="B298" s="5">
        <f t="shared" si="16"/>
        <v>9</v>
      </c>
      <c r="C298" s="5">
        <f t="shared" si="17"/>
        <v>3</v>
      </c>
      <c r="D298" s="5">
        <f t="shared" si="18"/>
        <v>2021</v>
      </c>
      <c r="E298" s="5" t="str">
        <f t="shared" si="19"/>
        <v>Q1</v>
      </c>
      <c r="F298" s="5">
        <v>104.2030029</v>
      </c>
      <c r="G298" s="5">
        <v>105.68699650000001</v>
      </c>
      <c r="H298" s="5">
        <v>100.2594986</v>
      </c>
      <c r="I298" s="5">
        <v>100.375</v>
      </c>
      <c r="J298" s="5">
        <v>36868000</v>
      </c>
      <c r="K298" s="5">
        <v>100.0124435</v>
      </c>
    </row>
    <row r="299" spans="1:11">
      <c r="A299" s="4">
        <v>44265</v>
      </c>
      <c r="B299" s="5">
        <f t="shared" si="16"/>
        <v>10</v>
      </c>
      <c r="C299" s="5">
        <f t="shared" si="17"/>
        <v>3</v>
      </c>
      <c r="D299" s="5">
        <f t="shared" si="18"/>
        <v>2021</v>
      </c>
      <c r="E299" s="5" t="str">
        <f t="shared" si="19"/>
        <v>Q1</v>
      </c>
      <c r="F299" s="5">
        <v>102.4875031</v>
      </c>
      <c r="G299" s="5">
        <v>103.19599909999999</v>
      </c>
      <c r="H299" s="5">
        <v>101.7799988</v>
      </c>
      <c r="I299" s="5">
        <v>102.0179977</v>
      </c>
      <c r="J299" s="5">
        <v>33920000</v>
      </c>
      <c r="K299" s="5">
        <v>101.6495132</v>
      </c>
    </row>
    <row r="300" spans="1:11">
      <c r="A300" s="4">
        <v>44266</v>
      </c>
      <c r="B300" s="5">
        <f t="shared" si="16"/>
        <v>11</v>
      </c>
      <c r="C300" s="5">
        <f t="shared" si="17"/>
        <v>3</v>
      </c>
      <c r="D300" s="5">
        <f t="shared" si="18"/>
        <v>2021</v>
      </c>
      <c r="E300" s="5" t="str">
        <f t="shared" si="19"/>
        <v>Q1</v>
      </c>
      <c r="F300" s="5">
        <v>103.0699997</v>
      </c>
      <c r="G300" s="5">
        <v>103.0699997</v>
      </c>
      <c r="H300" s="5">
        <v>100.9664993</v>
      </c>
      <c r="I300" s="5">
        <v>101.8095016</v>
      </c>
      <c r="J300" s="5">
        <v>27100000</v>
      </c>
      <c r="K300" s="5">
        <v>101.4417648</v>
      </c>
    </row>
    <row r="301" spans="1:11">
      <c r="A301" s="4">
        <v>44267</v>
      </c>
      <c r="B301" s="5">
        <f t="shared" si="16"/>
        <v>12</v>
      </c>
      <c r="C301" s="5">
        <f t="shared" si="17"/>
        <v>3</v>
      </c>
      <c r="D301" s="5">
        <f t="shared" si="18"/>
        <v>2021</v>
      </c>
      <c r="E301" s="5" t="str">
        <f t="shared" si="19"/>
        <v>Q1</v>
      </c>
      <c r="F301" s="5">
        <v>102.9110031</v>
      </c>
      <c r="G301" s="5">
        <v>105.56349950000001</v>
      </c>
      <c r="H301" s="5">
        <v>102.82250209999999</v>
      </c>
      <c r="I301" s="5">
        <v>105.02700040000001</v>
      </c>
      <c r="J301" s="5">
        <v>27702000</v>
      </c>
      <c r="K301" s="5">
        <v>104.647644</v>
      </c>
    </row>
    <row r="302" spans="1:11">
      <c r="A302" s="4">
        <v>44270</v>
      </c>
      <c r="B302" s="5">
        <f t="shared" si="16"/>
        <v>15</v>
      </c>
      <c r="C302" s="5">
        <f t="shared" si="17"/>
        <v>3</v>
      </c>
      <c r="D302" s="5">
        <f t="shared" si="18"/>
        <v>2021</v>
      </c>
      <c r="E302" s="5" t="str">
        <f t="shared" si="19"/>
        <v>Q1</v>
      </c>
      <c r="F302" s="5">
        <v>103.8205032</v>
      </c>
      <c r="G302" s="5">
        <v>103.88050079999999</v>
      </c>
      <c r="H302" s="5">
        <v>101.62100220000001</v>
      </c>
      <c r="I302" s="5">
        <v>102.5</v>
      </c>
      <c r="J302" s="5">
        <v>33818000</v>
      </c>
      <c r="K302" s="5">
        <v>102.12977600000001</v>
      </c>
    </row>
    <row r="303" spans="1:11">
      <c r="A303" s="4">
        <v>44271</v>
      </c>
      <c r="B303" s="5">
        <f t="shared" si="16"/>
        <v>16</v>
      </c>
      <c r="C303" s="5">
        <f t="shared" si="17"/>
        <v>3</v>
      </c>
      <c r="D303" s="5">
        <f t="shared" si="18"/>
        <v>2021</v>
      </c>
      <c r="E303" s="5" t="str">
        <f t="shared" si="19"/>
        <v>Q1</v>
      </c>
      <c r="F303" s="5">
        <v>102.24900049999999</v>
      </c>
      <c r="G303" s="5">
        <v>102.74949650000001</v>
      </c>
      <c r="H303" s="5">
        <v>101.3895035</v>
      </c>
      <c r="I303" s="5">
        <v>102.7220001</v>
      </c>
      <c r="J303" s="5">
        <v>26168000</v>
      </c>
      <c r="K303" s="5">
        <v>102.3509674</v>
      </c>
    </row>
    <row r="304" spans="1:11">
      <c r="A304" s="4">
        <v>44272</v>
      </c>
      <c r="B304" s="5">
        <f t="shared" si="16"/>
        <v>17</v>
      </c>
      <c r="C304" s="5">
        <f t="shared" si="17"/>
        <v>3</v>
      </c>
      <c r="D304" s="5">
        <f t="shared" si="18"/>
        <v>2021</v>
      </c>
      <c r="E304" s="5" t="str">
        <f t="shared" si="19"/>
        <v>Q1</v>
      </c>
      <c r="F304" s="5">
        <v>103.2994995</v>
      </c>
      <c r="G304" s="5">
        <v>105.6839981</v>
      </c>
      <c r="H304" s="5">
        <v>102.96450040000001</v>
      </c>
      <c r="I304" s="5">
        <v>104.19450380000001</v>
      </c>
      <c r="J304" s="5">
        <v>31900000</v>
      </c>
      <c r="K304" s="5">
        <v>103.818161</v>
      </c>
    </row>
    <row r="305" spans="1:11">
      <c r="A305" s="4">
        <v>44273</v>
      </c>
      <c r="B305" s="5">
        <f t="shared" si="16"/>
        <v>18</v>
      </c>
      <c r="C305" s="5">
        <f t="shared" si="17"/>
        <v>3</v>
      </c>
      <c r="D305" s="5">
        <f t="shared" si="18"/>
        <v>2021</v>
      </c>
      <c r="E305" s="5" t="str">
        <f t="shared" si="19"/>
        <v>Q1</v>
      </c>
      <c r="F305" s="5">
        <v>103.4235001</v>
      </c>
      <c r="G305" s="5">
        <v>104.9499969</v>
      </c>
      <c r="H305" s="5">
        <v>102.2060013</v>
      </c>
      <c r="I305" s="5">
        <v>104.1110001</v>
      </c>
      <c r="J305" s="5">
        <v>26382000</v>
      </c>
      <c r="K305" s="5">
        <v>103.73494719999999</v>
      </c>
    </row>
    <row r="306" spans="1:11">
      <c r="A306" s="4">
        <v>44274</v>
      </c>
      <c r="B306" s="5">
        <f t="shared" si="16"/>
        <v>19</v>
      </c>
      <c r="C306" s="5">
        <f t="shared" si="17"/>
        <v>3</v>
      </c>
      <c r="D306" s="5">
        <f t="shared" si="18"/>
        <v>2021</v>
      </c>
      <c r="E306" s="5" t="str">
        <f t="shared" si="19"/>
        <v>Q1</v>
      </c>
      <c r="F306" s="5">
        <v>102.40899659999999</v>
      </c>
      <c r="G306" s="5">
        <v>103.4375</v>
      </c>
      <c r="H306" s="5">
        <v>100.9589996</v>
      </c>
      <c r="I306" s="5">
        <v>101.0670013</v>
      </c>
      <c r="J306" s="5">
        <v>31700000</v>
      </c>
      <c r="K306" s="5">
        <v>100.70194239999999</v>
      </c>
    </row>
    <row r="307" spans="1:11">
      <c r="A307" s="4">
        <v>44277</v>
      </c>
      <c r="B307" s="5">
        <f t="shared" si="16"/>
        <v>22</v>
      </c>
      <c r="C307" s="5">
        <f t="shared" si="17"/>
        <v>3</v>
      </c>
      <c r="D307" s="5">
        <f t="shared" si="18"/>
        <v>2021</v>
      </c>
      <c r="E307" s="5" t="str">
        <f t="shared" si="19"/>
        <v>Q1</v>
      </c>
      <c r="F307" s="5">
        <v>101.48650360000001</v>
      </c>
      <c r="G307" s="5">
        <v>101.8519974</v>
      </c>
      <c r="H307" s="5">
        <v>100.1464996</v>
      </c>
      <c r="I307" s="5">
        <v>101.34799959999999</v>
      </c>
      <c r="J307" s="5">
        <v>46072000</v>
      </c>
      <c r="K307" s="5">
        <v>100.981926</v>
      </c>
    </row>
    <row r="308" spans="1:11">
      <c r="A308" s="4">
        <v>44278</v>
      </c>
      <c r="B308" s="5">
        <f t="shared" si="16"/>
        <v>23</v>
      </c>
      <c r="C308" s="5">
        <f t="shared" si="17"/>
        <v>3</v>
      </c>
      <c r="D308" s="5">
        <f t="shared" si="18"/>
        <v>2021</v>
      </c>
      <c r="E308" s="5" t="str">
        <f t="shared" si="19"/>
        <v>Q1</v>
      </c>
      <c r="F308" s="5">
        <v>101.3815002</v>
      </c>
      <c r="G308" s="5">
        <v>102.4169998</v>
      </c>
      <c r="H308" s="5">
        <v>100.6999969</v>
      </c>
      <c r="I308" s="5">
        <v>101.5345001</v>
      </c>
      <c r="J308" s="5">
        <v>33536000</v>
      </c>
      <c r="K308" s="5">
        <v>101.16775509999999</v>
      </c>
    </row>
    <row r="309" spans="1:11">
      <c r="A309" s="4">
        <v>44279</v>
      </c>
      <c r="B309" s="5">
        <f t="shared" si="16"/>
        <v>24</v>
      </c>
      <c r="C309" s="5">
        <f t="shared" si="17"/>
        <v>3</v>
      </c>
      <c r="D309" s="5">
        <f t="shared" si="18"/>
        <v>2021</v>
      </c>
      <c r="E309" s="5" t="str">
        <f t="shared" si="19"/>
        <v>Q1</v>
      </c>
      <c r="F309" s="5">
        <v>101.9974976</v>
      </c>
      <c r="G309" s="5">
        <v>103.2054977</v>
      </c>
      <c r="H309" s="5">
        <v>101.4000015</v>
      </c>
      <c r="I309" s="5">
        <v>102.06649779999999</v>
      </c>
      <c r="J309" s="5">
        <v>28510000</v>
      </c>
      <c r="K309" s="5">
        <v>101.6978378</v>
      </c>
    </row>
    <row r="310" spans="1:11">
      <c r="A310" s="4">
        <v>44280</v>
      </c>
      <c r="B310" s="5">
        <f t="shared" si="16"/>
        <v>25</v>
      </c>
      <c r="C310" s="5">
        <f t="shared" si="17"/>
        <v>3</v>
      </c>
      <c r="D310" s="5">
        <f t="shared" si="18"/>
        <v>2021</v>
      </c>
      <c r="E310" s="5" t="str">
        <f t="shared" si="19"/>
        <v>Q1</v>
      </c>
      <c r="F310" s="5">
        <v>102.58799740000001</v>
      </c>
      <c r="G310" s="5">
        <v>103.3799973</v>
      </c>
      <c r="H310" s="5">
        <v>101.4499969</v>
      </c>
      <c r="I310" s="5">
        <v>101.626503</v>
      </c>
      <c r="J310" s="5">
        <v>25218000</v>
      </c>
      <c r="K310" s="5">
        <v>101.2594299</v>
      </c>
    </row>
    <row r="311" spans="1:11">
      <c r="A311" s="4">
        <v>44281</v>
      </c>
      <c r="B311" s="5">
        <f t="shared" si="16"/>
        <v>26</v>
      </c>
      <c r="C311" s="5">
        <f t="shared" si="17"/>
        <v>3</v>
      </c>
      <c r="D311" s="5">
        <f t="shared" si="18"/>
        <v>2021</v>
      </c>
      <c r="E311" s="5" t="str">
        <f t="shared" si="19"/>
        <v>Q1</v>
      </c>
      <c r="F311" s="5">
        <v>101.45249939999999</v>
      </c>
      <c r="G311" s="5">
        <v>102.28199770000001</v>
      </c>
      <c r="H311" s="5">
        <v>99.80449677</v>
      </c>
      <c r="I311" s="5">
        <v>101.6230011</v>
      </c>
      <c r="J311" s="5">
        <v>35616000</v>
      </c>
      <c r="K311" s="5">
        <v>101.2559433</v>
      </c>
    </row>
    <row r="312" spans="1:11">
      <c r="A312" s="4">
        <v>44284</v>
      </c>
      <c r="B312" s="5">
        <f t="shared" si="16"/>
        <v>29</v>
      </c>
      <c r="C312" s="5">
        <f t="shared" si="17"/>
        <v>3</v>
      </c>
      <c r="D312" s="5">
        <f t="shared" si="18"/>
        <v>2021</v>
      </c>
      <c r="E312" s="5" t="str">
        <f t="shared" si="19"/>
        <v>Q1</v>
      </c>
      <c r="F312" s="5">
        <v>101.58950040000001</v>
      </c>
      <c r="G312" s="5">
        <v>101.96949770000001</v>
      </c>
      <c r="H312" s="5">
        <v>100.1924973</v>
      </c>
      <c r="I312" s="5">
        <v>101.23650360000001</v>
      </c>
      <c r="J312" s="5">
        <v>27978000</v>
      </c>
      <c r="K312" s="5">
        <v>100.870842</v>
      </c>
    </row>
    <row r="313" spans="1:11">
      <c r="A313" s="4">
        <v>44285</v>
      </c>
      <c r="B313" s="5">
        <f t="shared" si="16"/>
        <v>30</v>
      </c>
      <c r="C313" s="5">
        <f t="shared" si="17"/>
        <v>3</v>
      </c>
      <c r="D313" s="5">
        <f t="shared" si="18"/>
        <v>2021</v>
      </c>
      <c r="E313" s="5" t="str">
        <f t="shared" si="19"/>
        <v>Q1</v>
      </c>
      <c r="F313" s="5">
        <v>101.1080017</v>
      </c>
      <c r="G313" s="5">
        <v>102.4605026</v>
      </c>
      <c r="H313" s="5">
        <v>100.2724991</v>
      </c>
      <c r="I313" s="5">
        <v>102.2894974</v>
      </c>
      <c r="J313" s="5">
        <v>26492000</v>
      </c>
      <c r="K313" s="5">
        <v>101.9200287</v>
      </c>
    </row>
    <row r="314" spans="1:11">
      <c r="A314" s="4">
        <v>44286</v>
      </c>
      <c r="B314" s="5">
        <f t="shared" si="16"/>
        <v>31</v>
      </c>
      <c r="C314" s="5">
        <f t="shared" si="17"/>
        <v>3</v>
      </c>
      <c r="D314" s="5">
        <f t="shared" si="18"/>
        <v>2021</v>
      </c>
      <c r="E314" s="5" t="str">
        <f t="shared" si="19"/>
        <v>Q1</v>
      </c>
      <c r="F314" s="5">
        <v>102.6490021</v>
      </c>
      <c r="G314" s="5">
        <v>103.13349909999999</v>
      </c>
      <c r="H314" s="5">
        <v>101.8075027</v>
      </c>
      <c r="I314" s="5">
        <v>102.3235016</v>
      </c>
      <c r="J314" s="5">
        <v>27312000</v>
      </c>
      <c r="K314" s="5">
        <v>101.9539108</v>
      </c>
    </row>
    <row r="315" spans="1:11" hidden="1">
      <c r="A315" s="4">
        <v>44287</v>
      </c>
      <c r="B315" s="5">
        <f t="shared" si="16"/>
        <v>1</v>
      </c>
      <c r="C315" s="5">
        <f t="shared" si="17"/>
        <v>4</v>
      </c>
      <c r="D315" s="5">
        <f t="shared" si="18"/>
        <v>2021</v>
      </c>
      <c r="E315" s="5" t="str">
        <f t="shared" si="19"/>
        <v>Q2</v>
      </c>
      <c r="F315" s="5">
        <v>102.7200012</v>
      </c>
      <c r="G315" s="5">
        <v>104.31300349999999</v>
      </c>
      <c r="H315" s="5">
        <v>102.3499985</v>
      </c>
      <c r="I315" s="5">
        <v>103.12599950000001</v>
      </c>
      <c r="J315" s="5">
        <v>42570000</v>
      </c>
      <c r="K315" s="5">
        <v>102.75350950000001</v>
      </c>
    </row>
    <row r="316" spans="1:11" hidden="1">
      <c r="A316" s="4">
        <v>44291</v>
      </c>
      <c r="B316" s="5">
        <f t="shared" si="16"/>
        <v>5</v>
      </c>
      <c r="C316" s="5">
        <f t="shared" si="17"/>
        <v>4</v>
      </c>
      <c r="D316" s="5">
        <f t="shared" si="18"/>
        <v>2021</v>
      </c>
      <c r="E316" s="5" t="str">
        <f t="shared" si="19"/>
        <v>Q2</v>
      </c>
      <c r="F316" s="5">
        <v>104.6125031</v>
      </c>
      <c r="G316" s="5">
        <v>106.7874985</v>
      </c>
      <c r="H316" s="5">
        <v>104.5715027</v>
      </c>
      <c r="I316" s="5">
        <v>106.4889984</v>
      </c>
      <c r="J316" s="5">
        <v>39880000</v>
      </c>
      <c r="K316" s="5">
        <v>106.1043701</v>
      </c>
    </row>
    <row r="317" spans="1:11" hidden="1">
      <c r="A317" s="4">
        <v>44292</v>
      </c>
      <c r="B317" s="5">
        <f t="shared" si="16"/>
        <v>6</v>
      </c>
      <c r="C317" s="5">
        <f t="shared" si="17"/>
        <v>4</v>
      </c>
      <c r="D317" s="5">
        <f t="shared" si="18"/>
        <v>2021</v>
      </c>
      <c r="E317" s="5" t="str">
        <f t="shared" si="19"/>
        <v>Q2</v>
      </c>
      <c r="F317" s="5">
        <v>107.35749819999999</v>
      </c>
      <c r="G317" s="5">
        <v>111.449501</v>
      </c>
      <c r="H317" s="5">
        <v>107.260498</v>
      </c>
      <c r="I317" s="5">
        <v>110.947998</v>
      </c>
      <c r="J317" s="5">
        <v>48510000</v>
      </c>
      <c r="K317" s="5">
        <v>110.5472565</v>
      </c>
    </row>
    <row r="318" spans="1:11" hidden="1">
      <c r="A318" s="4">
        <v>44293</v>
      </c>
      <c r="B318" s="5">
        <f t="shared" si="16"/>
        <v>7</v>
      </c>
      <c r="C318" s="5">
        <f t="shared" si="17"/>
        <v>4</v>
      </c>
      <c r="D318" s="5">
        <f t="shared" si="18"/>
        <v>2021</v>
      </c>
      <c r="E318" s="5" t="str">
        <f t="shared" si="19"/>
        <v>Q2</v>
      </c>
      <c r="F318" s="5">
        <v>110.54599760000001</v>
      </c>
      <c r="G318" s="5">
        <v>111.4000015</v>
      </c>
      <c r="H318" s="5">
        <v>110.08950040000001</v>
      </c>
      <c r="I318" s="5">
        <v>110.46299740000001</v>
      </c>
      <c r="J318" s="5">
        <v>35240000</v>
      </c>
      <c r="K318" s="5">
        <v>110.064003</v>
      </c>
    </row>
    <row r="319" spans="1:11" hidden="1">
      <c r="A319" s="4">
        <v>44294</v>
      </c>
      <c r="B319" s="5">
        <f t="shared" si="16"/>
        <v>8</v>
      </c>
      <c r="C319" s="5">
        <f t="shared" si="17"/>
        <v>4</v>
      </c>
      <c r="D319" s="5">
        <f t="shared" si="18"/>
        <v>2021</v>
      </c>
      <c r="E319" s="5" t="str">
        <f t="shared" si="19"/>
        <v>Q2</v>
      </c>
      <c r="F319" s="5">
        <v>110.6549988</v>
      </c>
      <c r="G319" s="5">
        <v>112.2249985</v>
      </c>
      <c r="H319" s="5">
        <v>110.6549988</v>
      </c>
      <c r="I319" s="5">
        <v>111.9514999</v>
      </c>
      <c r="J319" s="5">
        <v>24134000</v>
      </c>
      <c r="K319" s="5">
        <v>111.5471344</v>
      </c>
    </row>
    <row r="320" spans="1:11" hidden="1">
      <c r="A320" s="4">
        <v>44295</v>
      </c>
      <c r="B320" s="5">
        <f t="shared" si="16"/>
        <v>9</v>
      </c>
      <c r="C320" s="5">
        <f t="shared" si="17"/>
        <v>4</v>
      </c>
      <c r="D320" s="5">
        <f t="shared" si="18"/>
        <v>2021</v>
      </c>
      <c r="E320" s="5" t="str">
        <f t="shared" si="19"/>
        <v>Q2</v>
      </c>
      <c r="F320" s="5">
        <v>113.1999969</v>
      </c>
      <c r="G320" s="5">
        <v>113.58950040000001</v>
      </c>
      <c r="H320" s="5">
        <v>112.15049740000001</v>
      </c>
      <c r="I320" s="5">
        <v>112.5214996</v>
      </c>
      <c r="J320" s="5">
        <v>28664000</v>
      </c>
      <c r="K320" s="5">
        <v>112.1150742</v>
      </c>
    </row>
    <row r="321" spans="1:11" hidden="1">
      <c r="A321" s="4">
        <v>44298</v>
      </c>
      <c r="B321" s="5">
        <f t="shared" si="16"/>
        <v>12</v>
      </c>
      <c r="C321" s="5">
        <f t="shared" si="17"/>
        <v>4</v>
      </c>
      <c r="D321" s="5">
        <f t="shared" si="18"/>
        <v>2021</v>
      </c>
      <c r="E321" s="5" t="str">
        <f t="shared" si="19"/>
        <v>Q2</v>
      </c>
      <c r="F321" s="5">
        <v>112.2720032</v>
      </c>
      <c r="G321" s="5">
        <v>113.6985016</v>
      </c>
      <c r="H321" s="5">
        <v>111.862999</v>
      </c>
      <c r="I321" s="5">
        <v>113.5335007</v>
      </c>
      <c r="J321" s="5">
        <v>26146000</v>
      </c>
      <c r="K321" s="5">
        <v>113.1234207</v>
      </c>
    </row>
    <row r="322" spans="1:11" hidden="1">
      <c r="A322" s="4">
        <v>44299</v>
      </c>
      <c r="B322" s="5">
        <f t="shared" ref="B322:B385" si="20">DAY(A322)</f>
        <v>13</v>
      </c>
      <c r="C322" s="5">
        <f t="shared" ref="C322:C385" si="21">MONTH(A322)</f>
        <v>4</v>
      </c>
      <c r="D322" s="5">
        <f t="shared" ref="D322:D385" si="22">YEAR(A322)</f>
        <v>2021</v>
      </c>
      <c r="E322" s="5" t="str">
        <f t="shared" ref="E322:E385" si="23">"Q"&amp;ROUNDUP(MONTH(A322)/3,0)</f>
        <v>Q2</v>
      </c>
      <c r="F322" s="5">
        <v>112.7060013</v>
      </c>
      <c r="G322" s="5">
        <v>112.84449770000001</v>
      </c>
      <c r="H322" s="5">
        <v>111.39099880000001</v>
      </c>
      <c r="I322" s="5">
        <v>112.2310028</v>
      </c>
      <c r="J322" s="5">
        <v>25024000</v>
      </c>
      <c r="K322" s="5">
        <v>111.8256226</v>
      </c>
    </row>
    <row r="323" spans="1:11" hidden="1">
      <c r="A323" s="4">
        <v>44300</v>
      </c>
      <c r="B323" s="5">
        <f t="shared" si="20"/>
        <v>14</v>
      </c>
      <c r="C323" s="5">
        <f t="shared" si="21"/>
        <v>4</v>
      </c>
      <c r="D323" s="5">
        <f t="shared" si="22"/>
        <v>2021</v>
      </c>
      <c r="E323" s="5" t="str">
        <f t="shared" si="23"/>
        <v>Q2</v>
      </c>
      <c r="F323" s="5">
        <v>112.5494995</v>
      </c>
      <c r="G323" s="5">
        <v>113.1735001</v>
      </c>
      <c r="H323" s="5">
        <v>112.1524963</v>
      </c>
      <c r="I323" s="5">
        <v>112.72149659999999</v>
      </c>
      <c r="J323" s="5">
        <v>25682000</v>
      </c>
      <c r="K323" s="5">
        <v>112.3143463</v>
      </c>
    </row>
    <row r="324" spans="1:11" hidden="1">
      <c r="A324" s="4">
        <v>44301</v>
      </c>
      <c r="B324" s="5">
        <f t="shared" si="20"/>
        <v>15</v>
      </c>
      <c r="C324" s="5">
        <f t="shared" si="21"/>
        <v>4</v>
      </c>
      <c r="D324" s="5">
        <f t="shared" si="22"/>
        <v>2021</v>
      </c>
      <c r="E324" s="5" t="str">
        <f t="shared" si="23"/>
        <v>Q2</v>
      </c>
      <c r="F324" s="5">
        <v>113.3714981</v>
      </c>
      <c r="G324" s="5">
        <v>113.3714981</v>
      </c>
      <c r="H324" s="5">
        <v>111.8010025</v>
      </c>
      <c r="I324" s="5">
        <v>112.0954971</v>
      </c>
      <c r="J324" s="5">
        <v>21002000</v>
      </c>
      <c r="K324" s="5">
        <v>111.69060519999999</v>
      </c>
    </row>
    <row r="325" spans="1:11" hidden="1">
      <c r="A325" s="4">
        <v>44302</v>
      </c>
      <c r="B325" s="5">
        <f t="shared" si="20"/>
        <v>16</v>
      </c>
      <c r="C325" s="5">
        <f t="shared" si="21"/>
        <v>4</v>
      </c>
      <c r="D325" s="5">
        <f t="shared" si="22"/>
        <v>2021</v>
      </c>
      <c r="E325" s="5" t="str">
        <f t="shared" si="23"/>
        <v>Q2</v>
      </c>
      <c r="F325" s="5">
        <v>113.0975037</v>
      </c>
      <c r="G325" s="5">
        <v>114.8000031</v>
      </c>
      <c r="H325" s="5">
        <v>112.55850220000001</v>
      </c>
      <c r="I325" s="5">
        <v>114.2624969</v>
      </c>
      <c r="J325" s="5">
        <v>29174000</v>
      </c>
      <c r="K325" s="5">
        <v>113.8497849</v>
      </c>
    </row>
    <row r="326" spans="1:11" hidden="1">
      <c r="A326" s="4">
        <v>44305</v>
      </c>
      <c r="B326" s="5">
        <f t="shared" si="20"/>
        <v>19</v>
      </c>
      <c r="C326" s="5">
        <f t="shared" si="21"/>
        <v>4</v>
      </c>
      <c r="D326" s="5">
        <f t="shared" si="22"/>
        <v>2021</v>
      </c>
      <c r="E326" s="5" t="str">
        <f t="shared" si="23"/>
        <v>Q2</v>
      </c>
      <c r="F326" s="5">
        <v>114.46199799999999</v>
      </c>
      <c r="G326" s="5">
        <v>114.71199799999999</v>
      </c>
      <c r="H326" s="5">
        <v>113.54599760000001</v>
      </c>
      <c r="I326" s="5">
        <v>114.1374969</v>
      </c>
      <c r="J326" s="5">
        <v>26282000</v>
      </c>
      <c r="K326" s="5">
        <v>113.725235</v>
      </c>
    </row>
    <row r="327" spans="1:11" hidden="1">
      <c r="A327" s="4">
        <v>44306</v>
      </c>
      <c r="B327" s="5">
        <f t="shared" si="20"/>
        <v>20</v>
      </c>
      <c r="C327" s="5">
        <f t="shared" si="21"/>
        <v>4</v>
      </c>
      <c r="D327" s="5">
        <f t="shared" si="22"/>
        <v>2021</v>
      </c>
      <c r="E327" s="5" t="str">
        <f t="shared" si="23"/>
        <v>Q2</v>
      </c>
      <c r="F327" s="5">
        <v>113.5090027</v>
      </c>
      <c r="G327" s="5">
        <v>115.2044983</v>
      </c>
      <c r="H327" s="5">
        <v>113.5090027</v>
      </c>
      <c r="I327" s="5">
        <v>114.487999</v>
      </c>
      <c r="J327" s="5">
        <v>30290000</v>
      </c>
      <c r="K327" s="5">
        <v>114.0744705</v>
      </c>
    </row>
    <row r="328" spans="1:11" hidden="1">
      <c r="A328" s="4">
        <v>44307</v>
      </c>
      <c r="B328" s="5">
        <f t="shared" si="20"/>
        <v>21</v>
      </c>
      <c r="C328" s="5">
        <f t="shared" si="21"/>
        <v>4</v>
      </c>
      <c r="D328" s="5">
        <f t="shared" si="22"/>
        <v>2021</v>
      </c>
      <c r="E328" s="5" t="str">
        <f t="shared" si="23"/>
        <v>Q2</v>
      </c>
      <c r="F328" s="5">
        <v>114.87449650000001</v>
      </c>
      <c r="G328" s="5">
        <v>114.9499969</v>
      </c>
      <c r="H328" s="5">
        <v>112.8560028</v>
      </c>
      <c r="I328" s="5">
        <v>113.9505005</v>
      </c>
      <c r="J328" s="5">
        <v>22288000</v>
      </c>
      <c r="K328" s="5">
        <v>113.53890989999999</v>
      </c>
    </row>
    <row r="329" spans="1:11" hidden="1">
      <c r="A329" s="4">
        <v>44308</v>
      </c>
      <c r="B329" s="5">
        <f t="shared" si="20"/>
        <v>22</v>
      </c>
      <c r="C329" s="5">
        <f t="shared" si="21"/>
        <v>4</v>
      </c>
      <c r="D329" s="5">
        <f t="shared" si="22"/>
        <v>2021</v>
      </c>
      <c r="E329" s="5" t="str">
        <f t="shared" si="23"/>
        <v>Q2</v>
      </c>
      <c r="F329" s="5">
        <v>113.6025009</v>
      </c>
      <c r="G329" s="5">
        <v>114</v>
      </c>
      <c r="H329" s="5">
        <v>112.2409973</v>
      </c>
      <c r="I329" s="5">
        <v>113.9175034</v>
      </c>
      <c r="J329" s="5">
        <v>23204000</v>
      </c>
      <c r="K329" s="5">
        <v>113.5060349</v>
      </c>
    </row>
    <row r="330" spans="1:11" hidden="1">
      <c r="A330" s="4">
        <v>44309</v>
      </c>
      <c r="B330" s="5">
        <f t="shared" si="20"/>
        <v>23</v>
      </c>
      <c r="C330" s="5">
        <f t="shared" si="21"/>
        <v>4</v>
      </c>
      <c r="D330" s="5">
        <f t="shared" si="22"/>
        <v>2021</v>
      </c>
      <c r="E330" s="5" t="str">
        <f t="shared" si="23"/>
        <v>Q2</v>
      </c>
      <c r="F330" s="5">
        <v>113.7699966</v>
      </c>
      <c r="G330" s="5">
        <v>114.4440002</v>
      </c>
      <c r="H330" s="5">
        <v>112.01599880000001</v>
      </c>
      <c r="I330" s="5">
        <v>112.62599950000001</v>
      </c>
      <c r="J330" s="5">
        <v>24146000</v>
      </c>
      <c r="K330" s="5">
        <v>112.21920009999999</v>
      </c>
    </row>
    <row r="331" spans="1:11" hidden="1">
      <c r="A331" s="4">
        <v>44312</v>
      </c>
      <c r="B331" s="5">
        <f t="shared" si="20"/>
        <v>26</v>
      </c>
      <c r="C331" s="5">
        <f t="shared" si="21"/>
        <v>4</v>
      </c>
      <c r="D331" s="5">
        <f t="shared" si="22"/>
        <v>2021</v>
      </c>
      <c r="E331" s="5" t="str">
        <f t="shared" si="23"/>
        <v>Q2</v>
      </c>
      <c r="F331" s="5">
        <v>113.3499985</v>
      </c>
      <c r="G331" s="5">
        <v>115.3059998</v>
      </c>
      <c r="H331" s="5">
        <v>113.0625</v>
      </c>
      <c r="I331" s="5">
        <v>114.9964981</v>
      </c>
      <c r="J331" s="5">
        <v>29066000</v>
      </c>
      <c r="K331" s="5">
        <v>114.5811386</v>
      </c>
    </row>
    <row r="332" spans="1:11" hidden="1">
      <c r="A332" s="4">
        <v>44313</v>
      </c>
      <c r="B332" s="5">
        <f t="shared" si="20"/>
        <v>27</v>
      </c>
      <c r="C332" s="5">
        <f t="shared" si="21"/>
        <v>4</v>
      </c>
      <c r="D332" s="5">
        <f t="shared" si="22"/>
        <v>2021</v>
      </c>
      <c r="E332" s="5" t="str">
        <f t="shared" si="23"/>
        <v>Q2</v>
      </c>
      <c r="F332" s="5">
        <v>115.2259979</v>
      </c>
      <c r="G332" s="5">
        <v>116.2265015</v>
      </c>
      <c r="H332" s="5">
        <v>114.8659973</v>
      </c>
      <c r="I332" s="5">
        <v>115.4964981</v>
      </c>
      <c r="J332" s="5">
        <v>32038000</v>
      </c>
      <c r="K332" s="5">
        <v>115.0793304</v>
      </c>
    </row>
    <row r="333" spans="1:11" hidden="1">
      <c r="A333" s="4">
        <v>44314</v>
      </c>
      <c r="B333" s="5">
        <f t="shared" si="20"/>
        <v>28</v>
      </c>
      <c r="C333" s="5">
        <f t="shared" si="21"/>
        <v>4</v>
      </c>
      <c r="D333" s="5">
        <f t="shared" si="22"/>
        <v>2021</v>
      </c>
      <c r="E333" s="5" t="str">
        <f t="shared" si="23"/>
        <v>Q2</v>
      </c>
      <c r="F333" s="5">
        <v>115.8815002</v>
      </c>
      <c r="G333" s="5">
        <v>115.92250060000001</v>
      </c>
      <c r="H333" s="5">
        <v>114.3079987</v>
      </c>
      <c r="I333" s="5">
        <v>114.54900360000001</v>
      </c>
      <c r="J333" s="5">
        <v>44386000</v>
      </c>
      <c r="K333" s="5">
        <v>114.1352539</v>
      </c>
    </row>
    <row r="334" spans="1:11" hidden="1">
      <c r="A334" s="4">
        <v>44315</v>
      </c>
      <c r="B334" s="5">
        <f t="shared" si="20"/>
        <v>29</v>
      </c>
      <c r="C334" s="5">
        <f t="shared" si="21"/>
        <v>4</v>
      </c>
      <c r="D334" s="5">
        <f t="shared" si="22"/>
        <v>2021</v>
      </c>
      <c r="E334" s="5" t="str">
        <f t="shared" si="23"/>
        <v>Q2</v>
      </c>
      <c r="F334" s="5">
        <v>119.625</v>
      </c>
      <c r="G334" s="5">
        <v>121.5690002</v>
      </c>
      <c r="H334" s="5">
        <v>117.6610031</v>
      </c>
      <c r="I334" s="5">
        <v>117.9520035</v>
      </c>
      <c r="J334" s="5">
        <v>81106000</v>
      </c>
      <c r="K334" s="5">
        <v>117.5259705</v>
      </c>
    </row>
    <row r="335" spans="1:11" hidden="1">
      <c r="A335" s="4">
        <v>44316</v>
      </c>
      <c r="B335" s="5">
        <f t="shared" si="20"/>
        <v>30</v>
      </c>
      <c r="C335" s="5">
        <f t="shared" si="21"/>
        <v>4</v>
      </c>
      <c r="D335" s="5">
        <f t="shared" si="22"/>
        <v>2021</v>
      </c>
      <c r="E335" s="5" t="str">
        <f t="shared" si="23"/>
        <v>Q2</v>
      </c>
      <c r="F335" s="5">
        <v>119.4615021</v>
      </c>
      <c r="G335" s="5">
        <v>120.2080002</v>
      </c>
      <c r="H335" s="5">
        <v>118.6924973</v>
      </c>
      <c r="I335" s="5">
        <v>119.6380005</v>
      </c>
      <c r="J335" s="5">
        <v>41234000</v>
      </c>
      <c r="K335" s="5">
        <v>119.20587159999999</v>
      </c>
    </row>
    <row r="336" spans="1:11" hidden="1">
      <c r="A336" s="4">
        <v>44319</v>
      </c>
      <c r="B336" s="5">
        <f t="shared" si="20"/>
        <v>3</v>
      </c>
      <c r="C336" s="5">
        <f t="shared" si="21"/>
        <v>5</v>
      </c>
      <c r="D336" s="5">
        <f t="shared" si="22"/>
        <v>2021</v>
      </c>
      <c r="E336" s="5" t="str">
        <f t="shared" si="23"/>
        <v>Q2</v>
      </c>
      <c r="F336" s="5">
        <v>118.40100099999999</v>
      </c>
      <c r="G336" s="5">
        <v>119.0924988</v>
      </c>
      <c r="H336" s="5">
        <v>117.3280029</v>
      </c>
      <c r="I336" s="5">
        <v>117.6750031</v>
      </c>
      <c r="J336" s="5">
        <v>44856000</v>
      </c>
      <c r="K336" s="5">
        <v>117.2499619</v>
      </c>
    </row>
    <row r="337" spans="1:11" hidden="1">
      <c r="A337" s="4">
        <v>44320</v>
      </c>
      <c r="B337" s="5">
        <f t="shared" si="20"/>
        <v>4</v>
      </c>
      <c r="C337" s="5">
        <f t="shared" si="21"/>
        <v>5</v>
      </c>
      <c r="D337" s="5">
        <f t="shared" si="22"/>
        <v>2021</v>
      </c>
      <c r="E337" s="5" t="str">
        <f t="shared" si="23"/>
        <v>Q2</v>
      </c>
      <c r="F337" s="5">
        <v>118.2454987</v>
      </c>
      <c r="G337" s="5">
        <v>119.07749939999999</v>
      </c>
      <c r="H337" s="5">
        <v>116.7750015</v>
      </c>
      <c r="I337" s="5">
        <v>117.1539993</v>
      </c>
      <c r="J337" s="5">
        <v>28242000</v>
      </c>
      <c r="K337" s="5">
        <v>116.730835</v>
      </c>
    </row>
    <row r="338" spans="1:11" hidden="1">
      <c r="A338" s="4">
        <v>44321</v>
      </c>
      <c r="B338" s="5">
        <f t="shared" si="20"/>
        <v>5</v>
      </c>
      <c r="C338" s="5">
        <f t="shared" si="21"/>
        <v>5</v>
      </c>
      <c r="D338" s="5">
        <f t="shared" si="22"/>
        <v>2021</v>
      </c>
      <c r="E338" s="5" t="str">
        <f t="shared" si="23"/>
        <v>Q2</v>
      </c>
      <c r="F338" s="5">
        <v>115.67749790000001</v>
      </c>
      <c r="G338" s="5">
        <v>116.24949650000001</v>
      </c>
      <c r="H338" s="5">
        <v>112.8339996</v>
      </c>
      <c r="I338" s="5">
        <v>115.3414993</v>
      </c>
      <c r="J338" s="5">
        <v>44818000</v>
      </c>
      <c r="K338" s="5">
        <v>114.9248886</v>
      </c>
    </row>
    <row r="339" spans="1:11" hidden="1">
      <c r="A339" s="4">
        <v>44322</v>
      </c>
      <c r="B339" s="5">
        <f t="shared" si="20"/>
        <v>6</v>
      </c>
      <c r="C339" s="5">
        <f t="shared" si="21"/>
        <v>5</v>
      </c>
      <c r="D339" s="5">
        <f t="shared" si="22"/>
        <v>2021</v>
      </c>
      <c r="E339" s="5" t="str">
        <f t="shared" si="23"/>
        <v>Q2</v>
      </c>
      <c r="F339" s="5">
        <v>116.4315033</v>
      </c>
      <c r="G339" s="5">
        <v>116.75</v>
      </c>
      <c r="H339" s="5">
        <v>115.4140015</v>
      </c>
      <c r="I339" s="5">
        <v>115.7385025</v>
      </c>
      <c r="J339" s="5">
        <v>26636000</v>
      </c>
      <c r="K339" s="5">
        <v>115.3204575</v>
      </c>
    </row>
    <row r="340" spans="1:11" hidden="1">
      <c r="A340" s="4">
        <v>44323</v>
      </c>
      <c r="B340" s="5">
        <f t="shared" si="20"/>
        <v>7</v>
      </c>
      <c r="C340" s="5">
        <f t="shared" si="21"/>
        <v>5</v>
      </c>
      <c r="D340" s="5">
        <f t="shared" si="22"/>
        <v>2021</v>
      </c>
      <c r="E340" s="5" t="str">
        <f t="shared" si="23"/>
        <v>Q2</v>
      </c>
      <c r="F340" s="5">
        <v>115.31649779999999</v>
      </c>
      <c r="G340" s="5">
        <v>116.8675003</v>
      </c>
      <c r="H340" s="5">
        <v>114.65200040000001</v>
      </c>
      <c r="I340" s="5">
        <v>116.8675003</v>
      </c>
      <c r="J340" s="5">
        <v>25190000</v>
      </c>
      <c r="K340" s="5">
        <v>116.4453735</v>
      </c>
    </row>
    <row r="341" spans="1:11" hidden="1">
      <c r="A341" s="4">
        <v>44326</v>
      </c>
      <c r="B341" s="5">
        <f t="shared" si="20"/>
        <v>10</v>
      </c>
      <c r="C341" s="5">
        <f t="shared" si="21"/>
        <v>5</v>
      </c>
      <c r="D341" s="5">
        <f t="shared" si="22"/>
        <v>2021</v>
      </c>
      <c r="E341" s="5" t="str">
        <f t="shared" si="23"/>
        <v>Q2</v>
      </c>
      <c r="F341" s="5">
        <v>118.19450380000001</v>
      </c>
      <c r="G341" s="5">
        <v>118.5625</v>
      </c>
      <c r="H341" s="5">
        <v>117.3079987</v>
      </c>
      <c r="I341" s="5">
        <v>117.59649659999999</v>
      </c>
      <c r="J341" s="5">
        <v>28898000</v>
      </c>
      <c r="K341" s="5">
        <v>117.17173769999999</v>
      </c>
    </row>
    <row r="342" spans="1:11" hidden="1">
      <c r="A342" s="4">
        <v>44327</v>
      </c>
      <c r="B342" s="5">
        <f t="shared" si="20"/>
        <v>11</v>
      </c>
      <c r="C342" s="5">
        <f t="shared" si="21"/>
        <v>5</v>
      </c>
      <c r="D342" s="5">
        <f t="shared" si="22"/>
        <v>2021</v>
      </c>
      <c r="E342" s="5" t="str">
        <f t="shared" si="23"/>
        <v>Q2</v>
      </c>
      <c r="F342" s="5">
        <v>116.40699770000001</v>
      </c>
      <c r="G342" s="5">
        <v>116.5500031</v>
      </c>
      <c r="H342" s="5">
        <v>114.2269974</v>
      </c>
      <c r="I342" s="5">
        <v>114.5875015</v>
      </c>
      <c r="J342" s="5">
        <v>30914000</v>
      </c>
      <c r="K342" s="5">
        <v>114.1736145</v>
      </c>
    </row>
    <row r="343" spans="1:11" hidden="1">
      <c r="A343" s="4">
        <v>44328</v>
      </c>
      <c r="B343" s="5">
        <f t="shared" si="20"/>
        <v>12</v>
      </c>
      <c r="C343" s="5">
        <f t="shared" si="21"/>
        <v>5</v>
      </c>
      <c r="D343" s="5">
        <f t="shared" si="22"/>
        <v>2021</v>
      </c>
      <c r="E343" s="5" t="str">
        <f t="shared" si="23"/>
        <v>Q2</v>
      </c>
      <c r="F343" s="5">
        <v>112.15350340000001</v>
      </c>
      <c r="G343" s="5">
        <v>114.0139999</v>
      </c>
      <c r="H343" s="5">
        <v>111.69599909999999</v>
      </c>
      <c r="I343" s="5">
        <v>113.5029984</v>
      </c>
      <c r="J343" s="5">
        <v>34186000</v>
      </c>
      <c r="K343" s="5">
        <v>113.0930252</v>
      </c>
    </row>
    <row r="344" spans="1:11" hidden="1">
      <c r="A344" s="4">
        <v>44329</v>
      </c>
      <c r="B344" s="5">
        <f t="shared" si="20"/>
        <v>13</v>
      </c>
      <c r="C344" s="5">
        <f t="shared" si="21"/>
        <v>5</v>
      </c>
      <c r="D344" s="5">
        <f t="shared" si="22"/>
        <v>2021</v>
      </c>
      <c r="E344" s="5" t="str">
        <f t="shared" si="23"/>
        <v>Q2</v>
      </c>
      <c r="F344" s="5">
        <v>111.3095016</v>
      </c>
      <c r="G344" s="5">
        <v>112.3990021</v>
      </c>
      <c r="H344" s="5">
        <v>109.6809998</v>
      </c>
      <c r="I344" s="5">
        <v>110.0124969</v>
      </c>
      <c r="J344" s="5">
        <v>46376000</v>
      </c>
      <c r="K344" s="5">
        <v>109.6151352</v>
      </c>
    </row>
    <row r="345" spans="1:11" hidden="1">
      <c r="A345" s="4">
        <v>44330</v>
      </c>
      <c r="B345" s="5">
        <f t="shared" si="20"/>
        <v>14</v>
      </c>
      <c r="C345" s="5">
        <f t="shared" si="21"/>
        <v>5</v>
      </c>
      <c r="D345" s="5">
        <f t="shared" si="22"/>
        <v>2021</v>
      </c>
      <c r="E345" s="5" t="str">
        <f t="shared" si="23"/>
        <v>Q2</v>
      </c>
      <c r="F345" s="5">
        <v>111.3059998</v>
      </c>
      <c r="G345" s="5">
        <v>111.9720001</v>
      </c>
      <c r="H345" s="5">
        <v>110.3359985</v>
      </c>
      <c r="I345" s="5">
        <v>111.4520035</v>
      </c>
      <c r="J345" s="5">
        <v>33204000</v>
      </c>
      <c r="K345" s="5">
        <v>111.04943849999999</v>
      </c>
    </row>
    <row r="346" spans="1:11" hidden="1">
      <c r="A346" s="4">
        <v>44333</v>
      </c>
      <c r="B346" s="5">
        <f t="shared" si="20"/>
        <v>17</v>
      </c>
      <c r="C346" s="5">
        <f t="shared" si="21"/>
        <v>5</v>
      </c>
      <c r="D346" s="5">
        <f t="shared" si="22"/>
        <v>2021</v>
      </c>
      <c r="E346" s="5" t="str">
        <f t="shared" si="23"/>
        <v>Q2</v>
      </c>
      <c r="F346" s="5">
        <v>112.927002</v>
      </c>
      <c r="G346" s="5">
        <v>114.2360001</v>
      </c>
      <c r="H346" s="5">
        <v>112.5</v>
      </c>
      <c r="I346" s="5">
        <v>113.9189987</v>
      </c>
      <c r="J346" s="5">
        <v>31996000</v>
      </c>
      <c r="K346" s="5">
        <v>113.5075226</v>
      </c>
    </row>
    <row r="347" spans="1:11" hidden="1">
      <c r="A347" s="4">
        <v>44334</v>
      </c>
      <c r="B347" s="5">
        <f t="shared" si="20"/>
        <v>18</v>
      </c>
      <c r="C347" s="5">
        <f t="shared" si="21"/>
        <v>5</v>
      </c>
      <c r="D347" s="5">
        <f t="shared" si="22"/>
        <v>2021</v>
      </c>
      <c r="E347" s="5" t="str">
        <f t="shared" si="23"/>
        <v>Q2</v>
      </c>
      <c r="F347" s="5">
        <v>113.1784973</v>
      </c>
      <c r="G347" s="5">
        <v>114.4889984</v>
      </c>
      <c r="H347" s="5">
        <v>112.77549740000001</v>
      </c>
      <c r="I347" s="5">
        <v>114.44599909999999</v>
      </c>
      <c r="J347" s="5">
        <v>21598000</v>
      </c>
      <c r="K347" s="5">
        <v>114.0326233</v>
      </c>
    </row>
    <row r="348" spans="1:11" hidden="1">
      <c r="A348" s="4">
        <v>44335</v>
      </c>
      <c r="B348" s="5">
        <f t="shared" si="20"/>
        <v>19</v>
      </c>
      <c r="C348" s="5">
        <f t="shared" si="21"/>
        <v>5</v>
      </c>
      <c r="D348" s="5">
        <f t="shared" si="22"/>
        <v>2021</v>
      </c>
      <c r="E348" s="5" t="str">
        <f t="shared" si="23"/>
        <v>Q2</v>
      </c>
      <c r="F348" s="5">
        <v>115.1175003</v>
      </c>
      <c r="G348" s="5">
        <v>115.3840027</v>
      </c>
      <c r="H348" s="5">
        <v>113.1094971</v>
      </c>
      <c r="I348" s="5">
        <v>113.123497</v>
      </c>
      <c r="J348" s="5">
        <v>22204000</v>
      </c>
      <c r="K348" s="5">
        <v>112.7148895</v>
      </c>
    </row>
    <row r="349" spans="1:11" hidden="1">
      <c r="A349" s="4">
        <v>44336</v>
      </c>
      <c r="B349" s="5">
        <f t="shared" si="20"/>
        <v>20</v>
      </c>
      <c r="C349" s="5">
        <f t="shared" si="21"/>
        <v>5</v>
      </c>
      <c r="D349" s="5">
        <f t="shared" si="22"/>
        <v>2021</v>
      </c>
      <c r="E349" s="5" t="str">
        <f t="shared" si="23"/>
        <v>Q2</v>
      </c>
      <c r="F349" s="5">
        <v>111.42150119999999</v>
      </c>
      <c r="G349" s="5">
        <v>113.74949650000001</v>
      </c>
      <c r="H349" s="5">
        <v>111.2720032</v>
      </c>
      <c r="I349" s="5">
        <v>113.5749969</v>
      </c>
      <c r="J349" s="5">
        <v>23684000</v>
      </c>
      <c r="K349" s="5">
        <v>113.1647644</v>
      </c>
    </row>
    <row r="350" spans="1:11" hidden="1">
      <c r="A350" s="4">
        <v>44337</v>
      </c>
      <c r="B350" s="5">
        <f t="shared" si="20"/>
        <v>21</v>
      </c>
      <c r="C350" s="5">
        <f t="shared" si="21"/>
        <v>5</v>
      </c>
      <c r="D350" s="5">
        <f t="shared" si="22"/>
        <v>2021</v>
      </c>
      <c r="E350" s="5" t="str">
        <f t="shared" si="23"/>
        <v>Q2</v>
      </c>
      <c r="F350" s="5">
        <v>114.5500031</v>
      </c>
      <c r="G350" s="5">
        <v>115.5999985</v>
      </c>
      <c r="H350" s="5">
        <v>114.1760025</v>
      </c>
      <c r="I350" s="5">
        <v>115.3475037</v>
      </c>
      <c r="J350" s="5">
        <v>32352000</v>
      </c>
      <c r="K350" s="5">
        <v>114.93087010000001</v>
      </c>
    </row>
    <row r="351" spans="1:11" hidden="1">
      <c r="A351" s="4">
        <v>44340</v>
      </c>
      <c r="B351" s="5">
        <f t="shared" si="20"/>
        <v>24</v>
      </c>
      <c r="C351" s="5">
        <f t="shared" si="21"/>
        <v>5</v>
      </c>
      <c r="D351" s="5">
        <f t="shared" si="22"/>
        <v>2021</v>
      </c>
      <c r="E351" s="5" t="str">
        <f t="shared" si="23"/>
        <v>Q2</v>
      </c>
      <c r="F351" s="5">
        <v>115.8704987</v>
      </c>
      <c r="G351" s="5">
        <v>115.94450380000001</v>
      </c>
      <c r="H351" s="5">
        <v>114.4649963</v>
      </c>
      <c r="I351" s="5">
        <v>114.7064972</v>
      </c>
      <c r="J351" s="5">
        <v>40632000</v>
      </c>
      <c r="K351" s="5">
        <v>114.2921829</v>
      </c>
    </row>
    <row r="352" spans="1:11" hidden="1">
      <c r="A352" s="4">
        <v>44341</v>
      </c>
      <c r="B352" s="5">
        <f t="shared" si="20"/>
        <v>25</v>
      </c>
      <c r="C352" s="5">
        <f t="shared" si="21"/>
        <v>5</v>
      </c>
      <c r="D352" s="5">
        <f t="shared" si="22"/>
        <v>2021</v>
      </c>
      <c r="E352" s="5" t="str">
        <f t="shared" si="23"/>
        <v>Q2</v>
      </c>
      <c r="F352" s="5">
        <v>115.74449920000001</v>
      </c>
      <c r="G352" s="5">
        <v>118.2774963</v>
      </c>
      <c r="H352" s="5">
        <v>115.59799959999999</v>
      </c>
      <c r="I352" s="5">
        <v>118.052002</v>
      </c>
      <c r="J352" s="5">
        <v>31832000</v>
      </c>
      <c r="K352" s="5">
        <v>117.6256027</v>
      </c>
    </row>
    <row r="353" spans="1:11" hidden="1">
      <c r="A353" s="4">
        <v>44342</v>
      </c>
      <c r="B353" s="5">
        <f t="shared" si="20"/>
        <v>26</v>
      </c>
      <c r="C353" s="5">
        <f t="shared" si="21"/>
        <v>5</v>
      </c>
      <c r="D353" s="5">
        <f t="shared" si="22"/>
        <v>2021</v>
      </c>
      <c r="E353" s="5" t="str">
        <f t="shared" si="23"/>
        <v>Q2</v>
      </c>
      <c r="F353" s="5">
        <v>118.5999985</v>
      </c>
      <c r="G353" s="5">
        <v>119.1999969</v>
      </c>
      <c r="H353" s="5">
        <v>117.75</v>
      </c>
      <c r="I353" s="5">
        <v>118.1435013</v>
      </c>
      <c r="J353" s="5">
        <v>22440000</v>
      </c>
      <c r="K353" s="5">
        <v>117.716774</v>
      </c>
    </row>
    <row r="354" spans="1:11" hidden="1">
      <c r="A354" s="4">
        <v>44343</v>
      </c>
      <c r="B354" s="5">
        <f t="shared" si="20"/>
        <v>27</v>
      </c>
      <c r="C354" s="5">
        <f t="shared" si="21"/>
        <v>5</v>
      </c>
      <c r="D354" s="5">
        <f t="shared" si="22"/>
        <v>2021</v>
      </c>
      <c r="E354" s="5" t="str">
        <f t="shared" si="23"/>
        <v>Q2</v>
      </c>
      <c r="F354" s="5">
        <v>118.32599639999999</v>
      </c>
      <c r="G354" s="5">
        <v>119.449501</v>
      </c>
      <c r="H354" s="5">
        <v>118.322998</v>
      </c>
      <c r="I354" s="5">
        <v>119.0155029</v>
      </c>
      <c r="J354" s="5">
        <v>21572000</v>
      </c>
      <c r="K354" s="5">
        <v>118.58561709999999</v>
      </c>
    </row>
    <row r="355" spans="1:11" hidden="1">
      <c r="A355" s="4">
        <v>44344</v>
      </c>
      <c r="B355" s="5">
        <f t="shared" si="20"/>
        <v>28</v>
      </c>
      <c r="C355" s="5">
        <f t="shared" si="21"/>
        <v>5</v>
      </c>
      <c r="D355" s="5">
        <f t="shared" si="22"/>
        <v>2021</v>
      </c>
      <c r="E355" s="5" t="str">
        <f t="shared" si="23"/>
        <v>Q2</v>
      </c>
      <c r="F355" s="5">
        <v>119.45249939999999</v>
      </c>
      <c r="G355" s="5">
        <v>119.45249939999999</v>
      </c>
      <c r="H355" s="5">
        <v>117.81300349999999</v>
      </c>
      <c r="I355" s="5">
        <v>118.1340027</v>
      </c>
      <c r="J355" s="5">
        <v>35224000</v>
      </c>
      <c r="K355" s="5">
        <v>117.70729830000001</v>
      </c>
    </row>
    <row r="356" spans="1:11" hidden="1">
      <c r="A356" s="4">
        <v>44348</v>
      </c>
      <c r="B356" s="5">
        <f t="shared" si="20"/>
        <v>1</v>
      </c>
      <c r="C356" s="5">
        <f t="shared" si="21"/>
        <v>6</v>
      </c>
      <c r="D356" s="5">
        <f t="shared" si="22"/>
        <v>2021</v>
      </c>
      <c r="E356" s="5" t="str">
        <f t="shared" si="23"/>
        <v>Q2</v>
      </c>
      <c r="F356" s="5">
        <v>118.7210007</v>
      </c>
      <c r="G356" s="5">
        <v>118.8034973</v>
      </c>
      <c r="H356" s="5">
        <v>117.64250180000001</v>
      </c>
      <c r="I356" s="5">
        <v>117.8424988</v>
      </c>
      <c r="J356" s="5">
        <v>21482000</v>
      </c>
      <c r="K356" s="5">
        <v>117.4168549</v>
      </c>
    </row>
    <row r="357" spans="1:11" hidden="1">
      <c r="A357" s="4">
        <v>44349</v>
      </c>
      <c r="B357" s="5">
        <f t="shared" si="20"/>
        <v>2</v>
      </c>
      <c r="C357" s="5">
        <f t="shared" si="21"/>
        <v>6</v>
      </c>
      <c r="D357" s="5">
        <f t="shared" si="22"/>
        <v>2021</v>
      </c>
      <c r="E357" s="5" t="str">
        <f t="shared" si="23"/>
        <v>Q2</v>
      </c>
      <c r="F357" s="5">
        <v>118.7220001</v>
      </c>
      <c r="G357" s="5">
        <v>119.28549959999999</v>
      </c>
      <c r="H357" s="5">
        <v>117.7139969</v>
      </c>
      <c r="I357" s="5">
        <v>119.0589981</v>
      </c>
      <c r="J357" s="5">
        <v>23354000</v>
      </c>
      <c r="K357" s="5">
        <v>118.6289673</v>
      </c>
    </row>
    <row r="358" spans="1:11" hidden="1">
      <c r="A358" s="4">
        <v>44350</v>
      </c>
      <c r="B358" s="5">
        <f t="shared" si="20"/>
        <v>3</v>
      </c>
      <c r="C358" s="5">
        <f t="shared" si="21"/>
        <v>6</v>
      </c>
      <c r="D358" s="5">
        <f t="shared" si="22"/>
        <v>2021</v>
      </c>
      <c r="E358" s="5" t="str">
        <f t="shared" si="23"/>
        <v>Q2</v>
      </c>
      <c r="F358" s="5">
        <v>119.4574966</v>
      </c>
      <c r="G358" s="5">
        <v>119.68199920000001</v>
      </c>
      <c r="H358" s="5">
        <v>117.61799619999999</v>
      </c>
      <c r="I358" s="5">
        <v>118.5295029</v>
      </c>
      <c r="J358" s="5">
        <v>21158000</v>
      </c>
      <c r="K358" s="5">
        <v>118.1013794</v>
      </c>
    </row>
    <row r="359" spans="1:11" hidden="1">
      <c r="A359" s="4">
        <v>44351</v>
      </c>
      <c r="B359" s="5">
        <f t="shared" si="20"/>
        <v>4</v>
      </c>
      <c r="C359" s="5">
        <f t="shared" si="21"/>
        <v>6</v>
      </c>
      <c r="D359" s="5">
        <f t="shared" si="22"/>
        <v>2021</v>
      </c>
      <c r="E359" s="5" t="str">
        <f t="shared" si="23"/>
        <v>Q2</v>
      </c>
      <c r="F359" s="5">
        <v>117.28649900000001</v>
      </c>
      <c r="G359" s="5">
        <v>117.8509979</v>
      </c>
      <c r="H359" s="5">
        <v>116.4759979</v>
      </c>
      <c r="I359" s="5">
        <v>117.37899779999999</v>
      </c>
      <c r="J359" s="5">
        <v>18696000</v>
      </c>
      <c r="K359" s="5">
        <v>116.9550247</v>
      </c>
    </row>
    <row r="360" spans="1:11" hidden="1">
      <c r="A360" s="4">
        <v>44354</v>
      </c>
      <c r="B360" s="5">
        <f t="shared" si="20"/>
        <v>7</v>
      </c>
      <c r="C360" s="5">
        <f t="shared" si="21"/>
        <v>6</v>
      </c>
      <c r="D360" s="5">
        <f t="shared" si="22"/>
        <v>2021</v>
      </c>
      <c r="E360" s="5" t="str">
        <f t="shared" si="23"/>
        <v>Q2</v>
      </c>
      <c r="F360" s="5">
        <v>118.46350099999999</v>
      </c>
      <c r="G360" s="5">
        <v>119.9514999</v>
      </c>
      <c r="H360" s="5">
        <v>118.1204987</v>
      </c>
      <c r="I360" s="5">
        <v>119.6784973</v>
      </c>
      <c r="J360" s="5">
        <v>24458000</v>
      </c>
      <c r="K360" s="5">
        <v>119.24622340000001</v>
      </c>
    </row>
    <row r="361" spans="1:11" hidden="1">
      <c r="A361" s="4">
        <v>44355</v>
      </c>
      <c r="B361" s="5">
        <f t="shared" si="20"/>
        <v>8</v>
      </c>
      <c r="C361" s="5">
        <f t="shared" si="21"/>
        <v>6</v>
      </c>
      <c r="D361" s="5">
        <f t="shared" si="22"/>
        <v>2021</v>
      </c>
      <c r="E361" s="5" t="str">
        <f t="shared" si="23"/>
        <v>Q2</v>
      </c>
      <c r="F361" s="5">
        <v>119.4720001</v>
      </c>
      <c r="G361" s="5">
        <v>120.22550200000001</v>
      </c>
      <c r="H361" s="5">
        <v>119.0500031</v>
      </c>
      <c r="I361" s="5">
        <v>120.11499790000001</v>
      </c>
      <c r="J361" s="5">
        <v>24120000</v>
      </c>
      <c r="K361" s="5">
        <v>119.6811371</v>
      </c>
    </row>
    <row r="362" spans="1:11" hidden="1">
      <c r="A362" s="4">
        <v>44356</v>
      </c>
      <c r="B362" s="5">
        <f t="shared" si="20"/>
        <v>9</v>
      </c>
      <c r="C362" s="5">
        <f t="shared" si="21"/>
        <v>6</v>
      </c>
      <c r="D362" s="5">
        <f t="shared" si="22"/>
        <v>2021</v>
      </c>
      <c r="E362" s="5" t="str">
        <f t="shared" si="23"/>
        <v>Q2</v>
      </c>
      <c r="F362" s="5">
        <v>120.60050200000001</v>
      </c>
      <c r="G362" s="5">
        <v>120.9759979</v>
      </c>
      <c r="H362" s="5">
        <v>119.7389984</v>
      </c>
      <c r="I362" s="5">
        <v>119.9219971</v>
      </c>
      <c r="J362" s="5">
        <v>24240000</v>
      </c>
      <c r="K362" s="5">
        <v>119.4888382</v>
      </c>
    </row>
    <row r="363" spans="1:11" hidden="1">
      <c r="A363" s="4">
        <v>44357</v>
      </c>
      <c r="B363" s="5">
        <f t="shared" si="20"/>
        <v>10</v>
      </c>
      <c r="C363" s="5">
        <f t="shared" si="21"/>
        <v>6</v>
      </c>
      <c r="D363" s="5">
        <f t="shared" si="22"/>
        <v>2021</v>
      </c>
      <c r="E363" s="5" t="str">
        <f t="shared" si="23"/>
        <v>Q2</v>
      </c>
      <c r="F363" s="5">
        <v>120.5715027</v>
      </c>
      <c r="G363" s="5">
        <v>120.6439972</v>
      </c>
      <c r="H363" s="5">
        <v>119.8450012</v>
      </c>
      <c r="I363" s="5">
        <v>120.3970032</v>
      </c>
      <c r="J363" s="5">
        <v>17942000</v>
      </c>
      <c r="K363" s="5">
        <v>119.9621353</v>
      </c>
    </row>
    <row r="364" spans="1:11" hidden="1">
      <c r="A364" s="4">
        <v>44358</v>
      </c>
      <c r="B364" s="5">
        <f t="shared" si="20"/>
        <v>11</v>
      </c>
      <c r="C364" s="5">
        <f t="shared" si="21"/>
        <v>6</v>
      </c>
      <c r="D364" s="5">
        <f t="shared" si="22"/>
        <v>2021</v>
      </c>
      <c r="E364" s="5" t="str">
        <f t="shared" si="23"/>
        <v>Q2</v>
      </c>
      <c r="F364" s="5">
        <v>120.3460007</v>
      </c>
      <c r="G364" s="5">
        <v>121.8000031</v>
      </c>
      <c r="H364" s="5">
        <v>120.189003</v>
      </c>
      <c r="I364" s="5">
        <v>121.7565002</v>
      </c>
      <c r="J364" s="5">
        <v>25904000</v>
      </c>
      <c r="K364" s="5">
        <v>121.3167191</v>
      </c>
    </row>
    <row r="365" spans="1:11" hidden="1">
      <c r="A365" s="4">
        <v>44361</v>
      </c>
      <c r="B365" s="5">
        <f t="shared" si="20"/>
        <v>14</v>
      </c>
      <c r="C365" s="5">
        <f t="shared" si="21"/>
        <v>6</v>
      </c>
      <c r="D365" s="5">
        <f t="shared" si="22"/>
        <v>2021</v>
      </c>
      <c r="E365" s="5" t="str">
        <f t="shared" si="23"/>
        <v>Q2</v>
      </c>
      <c r="F365" s="5">
        <v>122</v>
      </c>
      <c r="G365" s="5">
        <v>122.0859985</v>
      </c>
      <c r="H365" s="5">
        <v>120.947998</v>
      </c>
      <c r="I365" s="5">
        <v>121.51000209999999</v>
      </c>
      <c r="J365" s="5">
        <v>21958000</v>
      </c>
      <c r="K365" s="5">
        <v>121.071106</v>
      </c>
    </row>
    <row r="366" spans="1:11" hidden="1">
      <c r="A366" s="4">
        <v>44362</v>
      </c>
      <c r="B366" s="5">
        <f t="shared" si="20"/>
        <v>15</v>
      </c>
      <c r="C366" s="5">
        <f t="shared" si="21"/>
        <v>6</v>
      </c>
      <c r="D366" s="5">
        <f t="shared" si="22"/>
        <v>2021</v>
      </c>
      <c r="E366" s="5" t="str">
        <f t="shared" si="23"/>
        <v>Q2</v>
      </c>
      <c r="F366" s="5">
        <v>121.612999</v>
      </c>
      <c r="G366" s="5">
        <v>122.44599909999999</v>
      </c>
      <c r="H366" s="5">
        <v>120.9000015</v>
      </c>
      <c r="I366" s="5">
        <v>122.4455032</v>
      </c>
      <c r="J366" s="5">
        <v>22098000</v>
      </c>
      <c r="K366" s="5">
        <v>122.0032272</v>
      </c>
    </row>
    <row r="367" spans="1:11" hidden="1">
      <c r="A367" s="4">
        <v>44363</v>
      </c>
      <c r="B367" s="5">
        <f t="shared" si="20"/>
        <v>16</v>
      </c>
      <c r="C367" s="5">
        <f t="shared" si="21"/>
        <v>6</v>
      </c>
      <c r="D367" s="5">
        <f t="shared" si="22"/>
        <v>2021</v>
      </c>
      <c r="E367" s="5" t="str">
        <f t="shared" si="23"/>
        <v>Q2</v>
      </c>
      <c r="F367" s="5">
        <v>122.4499969</v>
      </c>
      <c r="G367" s="5">
        <v>122.77549740000001</v>
      </c>
      <c r="H367" s="5">
        <v>121.0559998</v>
      </c>
      <c r="I367" s="5">
        <v>121.4195023</v>
      </c>
      <c r="J367" s="5">
        <v>21562000</v>
      </c>
      <c r="K367" s="5">
        <v>120.9809341</v>
      </c>
    </row>
    <row r="368" spans="1:11" hidden="1">
      <c r="A368" s="4">
        <v>44364</v>
      </c>
      <c r="B368" s="5">
        <f t="shared" si="20"/>
        <v>17</v>
      </c>
      <c r="C368" s="5">
        <f t="shared" si="21"/>
        <v>6</v>
      </c>
      <c r="D368" s="5">
        <f t="shared" si="22"/>
        <v>2021</v>
      </c>
      <c r="E368" s="5" t="str">
        <f t="shared" si="23"/>
        <v>Q2</v>
      </c>
      <c r="F368" s="5">
        <v>121.5719986</v>
      </c>
      <c r="G368" s="5">
        <v>121.8860016</v>
      </c>
      <c r="H368" s="5">
        <v>119.4700012</v>
      </c>
      <c r="I368" s="5">
        <v>120.7724991</v>
      </c>
      <c r="J368" s="5">
        <v>26472000</v>
      </c>
      <c r="K368" s="5">
        <v>120.3362656</v>
      </c>
    </row>
    <row r="369" spans="1:11" hidden="1">
      <c r="A369" s="4">
        <v>44365</v>
      </c>
      <c r="B369" s="5">
        <f t="shared" si="20"/>
        <v>18</v>
      </c>
      <c r="C369" s="5">
        <f t="shared" si="21"/>
        <v>6</v>
      </c>
      <c r="D369" s="5">
        <f t="shared" si="22"/>
        <v>2021</v>
      </c>
      <c r="E369" s="5" t="str">
        <f t="shared" si="23"/>
        <v>Q2</v>
      </c>
      <c r="F369" s="5">
        <v>120.69750209999999</v>
      </c>
      <c r="G369" s="5">
        <v>122.5224991</v>
      </c>
      <c r="H369" s="5">
        <v>120.5</v>
      </c>
      <c r="I369" s="5">
        <v>121.7434998</v>
      </c>
      <c r="J369" s="5">
        <v>25842000</v>
      </c>
      <c r="K369" s="5">
        <v>121.3037643</v>
      </c>
    </row>
    <row r="370" spans="1:11" hidden="1">
      <c r="A370" s="4">
        <v>44368</v>
      </c>
      <c r="B370" s="5">
        <f t="shared" si="20"/>
        <v>21</v>
      </c>
      <c r="C370" s="5">
        <f t="shared" si="21"/>
        <v>6</v>
      </c>
      <c r="D370" s="5">
        <f t="shared" si="22"/>
        <v>2021</v>
      </c>
      <c r="E370" s="5" t="str">
        <f t="shared" si="23"/>
        <v>Q2</v>
      </c>
      <c r="F370" s="5">
        <v>121.3669968</v>
      </c>
      <c r="G370" s="5">
        <v>121.6029968</v>
      </c>
      <c r="H370" s="5">
        <v>120.01499939999999</v>
      </c>
      <c r="I370" s="5">
        <v>120.1110001</v>
      </c>
      <c r="J370" s="5">
        <v>46116000</v>
      </c>
      <c r="K370" s="5">
        <v>119.6771622</v>
      </c>
    </row>
    <row r="371" spans="1:11" hidden="1">
      <c r="A371" s="4">
        <v>44369</v>
      </c>
      <c r="B371" s="5">
        <f t="shared" si="20"/>
        <v>22</v>
      </c>
      <c r="C371" s="5">
        <f t="shared" si="21"/>
        <v>6</v>
      </c>
      <c r="D371" s="5">
        <f t="shared" si="22"/>
        <v>2021</v>
      </c>
      <c r="E371" s="5" t="str">
        <f t="shared" si="23"/>
        <v>Q2</v>
      </c>
      <c r="F371" s="5">
        <v>120.50050349999999</v>
      </c>
      <c r="G371" s="5">
        <v>122</v>
      </c>
      <c r="H371" s="5">
        <v>119.8984985</v>
      </c>
      <c r="I371" s="5">
        <v>121.8125</v>
      </c>
      <c r="J371" s="5">
        <v>27414000</v>
      </c>
      <c r="K371" s="5">
        <v>121.3725128</v>
      </c>
    </row>
    <row r="372" spans="1:11" hidden="1">
      <c r="A372" s="4">
        <v>44370</v>
      </c>
      <c r="B372" s="5">
        <f t="shared" si="20"/>
        <v>23</v>
      </c>
      <c r="C372" s="5">
        <f t="shared" si="21"/>
        <v>6</v>
      </c>
      <c r="D372" s="5">
        <f t="shared" si="22"/>
        <v>2021</v>
      </c>
      <c r="E372" s="5" t="str">
        <f t="shared" si="23"/>
        <v>Q2</v>
      </c>
      <c r="F372" s="5">
        <v>121.75</v>
      </c>
      <c r="G372" s="5">
        <v>122.4000015</v>
      </c>
      <c r="H372" s="5">
        <v>121.064003</v>
      </c>
      <c r="I372" s="5">
        <v>122.3304977</v>
      </c>
      <c r="J372" s="5">
        <v>22390000</v>
      </c>
      <c r="K372" s="5">
        <v>121.8886414</v>
      </c>
    </row>
    <row r="373" spans="1:11" hidden="1">
      <c r="A373" s="4">
        <v>44371</v>
      </c>
      <c r="B373" s="5">
        <f t="shared" si="20"/>
        <v>24</v>
      </c>
      <c r="C373" s="5">
        <f t="shared" si="21"/>
        <v>6</v>
      </c>
      <c r="D373" s="5">
        <f t="shared" si="22"/>
        <v>2021</v>
      </c>
      <c r="E373" s="5" t="str">
        <f t="shared" si="23"/>
        <v>Q2</v>
      </c>
      <c r="F373" s="5">
        <v>122.0934982</v>
      </c>
      <c r="G373" s="5">
        <v>123.0954971</v>
      </c>
      <c r="H373" s="5">
        <v>121.8345032</v>
      </c>
      <c r="I373" s="5">
        <v>122.1269989</v>
      </c>
      <c r="J373" s="5">
        <v>19148000</v>
      </c>
      <c r="K373" s="5">
        <v>121.6858749</v>
      </c>
    </row>
    <row r="374" spans="1:11" hidden="1">
      <c r="A374" s="4">
        <v>44372</v>
      </c>
      <c r="B374" s="5">
        <f t="shared" si="20"/>
        <v>25</v>
      </c>
      <c r="C374" s="5">
        <f t="shared" si="21"/>
        <v>6</v>
      </c>
      <c r="D374" s="5">
        <f t="shared" si="22"/>
        <v>2021</v>
      </c>
      <c r="E374" s="5" t="str">
        <f t="shared" si="23"/>
        <v>Q2</v>
      </c>
      <c r="F374" s="5">
        <v>122.6999969</v>
      </c>
      <c r="G374" s="5">
        <v>123.05549619999999</v>
      </c>
      <c r="H374" s="5">
        <v>122.3000031</v>
      </c>
      <c r="I374" s="5">
        <v>122.5</v>
      </c>
      <c r="J374" s="5">
        <v>21362000</v>
      </c>
      <c r="K374" s="5">
        <v>122.0575333</v>
      </c>
    </row>
    <row r="375" spans="1:11" hidden="1">
      <c r="A375" s="4">
        <v>44375</v>
      </c>
      <c r="B375" s="5">
        <f t="shared" si="20"/>
        <v>28</v>
      </c>
      <c r="C375" s="5">
        <f t="shared" si="21"/>
        <v>6</v>
      </c>
      <c r="D375" s="5">
        <f t="shared" si="22"/>
        <v>2021</v>
      </c>
      <c r="E375" s="5" t="str">
        <f t="shared" si="23"/>
        <v>Q2</v>
      </c>
      <c r="F375" s="5">
        <v>122</v>
      </c>
      <c r="G375" s="5">
        <v>122.6330032</v>
      </c>
      <c r="H375" s="5">
        <v>121.5650024</v>
      </c>
      <c r="I375" s="5">
        <v>122.50849909999999</v>
      </c>
      <c r="J375" s="5">
        <v>34594000</v>
      </c>
      <c r="K375" s="5">
        <v>122.0660019</v>
      </c>
    </row>
    <row r="376" spans="1:11" hidden="1">
      <c r="A376" s="4">
        <v>44376</v>
      </c>
      <c r="B376" s="5">
        <f t="shared" si="20"/>
        <v>29</v>
      </c>
      <c r="C376" s="5">
        <f t="shared" si="21"/>
        <v>6</v>
      </c>
      <c r="D376" s="5">
        <f t="shared" si="22"/>
        <v>2021</v>
      </c>
      <c r="E376" s="5" t="str">
        <f t="shared" si="23"/>
        <v>Q2</v>
      </c>
      <c r="F376" s="5">
        <v>122.6784973</v>
      </c>
      <c r="G376" s="5">
        <v>122.7850037</v>
      </c>
      <c r="H376" s="5">
        <v>121.40550229999999</v>
      </c>
      <c r="I376" s="5">
        <v>122.5360031</v>
      </c>
      <c r="J376" s="5">
        <v>28526000</v>
      </c>
      <c r="K376" s="5">
        <v>122.09339900000001</v>
      </c>
    </row>
    <row r="377" spans="1:11" hidden="1">
      <c r="A377" s="4">
        <v>44377</v>
      </c>
      <c r="B377" s="5">
        <f t="shared" si="20"/>
        <v>30</v>
      </c>
      <c r="C377" s="5">
        <f t="shared" si="21"/>
        <v>6</v>
      </c>
      <c r="D377" s="5">
        <f t="shared" si="22"/>
        <v>2021</v>
      </c>
      <c r="E377" s="5" t="str">
        <f t="shared" si="23"/>
        <v>Q2</v>
      </c>
      <c r="F377" s="5">
        <v>122.6705017</v>
      </c>
      <c r="G377" s="5">
        <v>123.02100369999999</v>
      </c>
      <c r="H377" s="5">
        <v>121.6910019</v>
      </c>
      <c r="I377" s="5">
        <v>122.2724991</v>
      </c>
      <c r="J377" s="5">
        <v>23108000</v>
      </c>
      <c r="K377" s="5">
        <v>121.8308487</v>
      </c>
    </row>
    <row r="378" spans="1:11" hidden="1">
      <c r="A378" s="4">
        <v>44378</v>
      </c>
      <c r="B378" s="5">
        <f t="shared" si="20"/>
        <v>1</v>
      </c>
      <c r="C378" s="5">
        <f t="shared" si="21"/>
        <v>7</v>
      </c>
      <c r="D378" s="5">
        <f t="shared" si="22"/>
        <v>2021</v>
      </c>
      <c r="E378" s="5" t="str">
        <f t="shared" si="23"/>
        <v>Q3</v>
      </c>
      <c r="F378" s="5">
        <v>121.99449920000001</v>
      </c>
      <c r="G378" s="5">
        <v>122.25700380000001</v>
      </c>
      <c r="H378" s="5">
        <v>121.3544998</v>
      </c>
      <c r="I378" s="5">
        <v>122.08950040000001</v>
      </c>
      <c r="J378" s="5">
        <v>24474000</v>
      </c>
      <c r="K378" s="5">
        <v>121.6485138</v>
      </c>
    </row>
    <row r="379" spans="1:11" hidden="1">
      <c r="A379" s="4">
        <v>44379</v>
      </c>
      <c r="B379" s="5">
        <f t="shared" si="20"/>
        <v>2</v>
      </c>
      <c r="C379" s="5">
        <f t="shared" si="21"/>
        <v>7</v>
      </c>
      <c r="D379" s="5">
        <f t="shared" si="22"/>
        <v>2021</v>
      </c>
      <c r="E379" s="5" t="str">
        <f t="shared" si="23"/>
        <v>Q3</v>
      </c>
      <c r="F379" s="5">
        <v>121.7249985</v>
      </c>
      <c r="G379" s="5">
        <v>122.58699799999999</v>
      </c>
      <c r="H379" s="5">
        <v>121.5315018</v>
      </c>
      <c r="I379" s="5">
        <v>122.44450380000001</v>
      </c>
      <c r="J379" s="5">
        <v>18110000</v>
      </c>
      <c r="K379" s="5">
        <v>122.0022354</v>
      </c>
    </row>
    <row r="380" spans="1:11" hidden="1">
      <c r="A380" s="4">
        <v>44383</v>
      </c>
      <c r="B380" s="5">
        <f t="shared" si="20"/>
        <v>6</v>
      </c>
      <c r="C380" s="5">
        <f t="shared" si="21"/>
        <v>7</v>
      </c>
      <c r="D380" s="5">
        <f t="shared" si="22"/>
        <v>2021</v>
      </c>
      <c r="E380" s="5" t="str">
        <f t="shared" si="23"/>
        <v>Q3</v>
      </c>
      <c r="F380" s="5">
        <v>123.1500015</v>
      </c>
      <c r="G380" s="5">
        <v>125.4039993</v>
      </c>
      <c r="H380" s="5">
        <v>123.0595016</v>
      </c>
      <c r="I380" s="5">
        <v>125.2574997</v>
      </c>
      <c r="J380" s="5">
        <v>25982000</v>
      </c>
      <c r="K380" s="5">
        <v>124.80507660000001</v>
      </c>
    </row>
    <row r="381" spans="1:11" hidden="1">
      <c r="A381" s="4">
        <v>44384</v>
      </c>
      <c r="B381" s="5">
        <f t="shared" si="20"/>
        <v>7</v>
      </c>
      <c r="C381" s="5">
        <f t="shared" si="21"/>
        <v>7</v>
      </c>
      <c r="D381" s="5">
        <f t="shared" si="22"/>
        <v>2021</v>
      </c>
      <c r="E381" s="5" t="str">
        <f t="shared" si="23"/>
        <v>Q3</v>
      </c>
      <c r="F381" s="5">
        <v>125.6484985</v>
      </c>
      <c r="G381" s="5">
        <v>126.4280014</v>
      </c>
      <c r="H381" s="5">
        <v>124.5824966</v>
      </c>
      <c r="I381" s="5">
        <v>126.1900024</v>
      </c>
      <c r="J381" s="5">
        <v>26404000</v>
      </c>
      <c r="K381" s="5">
        <v>125.7342072</v>
      </c>
    </row>
    <row r="382" spans="1:11" hidden="1">
      <c r="A382" s="4">
        <v>44385</v>
      </c>
      <c r="B382" s="5">
        <f t="shared" si="20"/>
        <v>8</v>
      </c>
      <c r="C382" s="5">
        <f t="shared" si="21"/>
        <v>7</v>
      </c>
      <c r="D382" s="5">
        <f t="shared" si="22"/>
        <v>2021</v>
      </c>
      <c r="E382" s="5" t="str">
        <f t="shared" si="23"/>
        <v>Q3</v>
      </c>
      <c r="F382" s="5">
        <v>127.16200259999999</v>
      </c>
      <c r="G382" s="5">
        <v>127.28399659999999</v>
      </c>
      <c r="H382" s="5">
        <v>126.1529999</v>
      </c>
      <c r="I382" s="5">
        <v>126.47399900000001</v>
      </c>
      <c r="J382" s="5">
        <v>24060000</v>
      </c>
      <c r="K382" s="5">
        <v>126.01717379999999</v>
      </c>
    </row>
    <row r="383" spans="1:11" hidden="1">
      <c r="A383" s="4">
        <v>44386</v>
      </c>
      <c r="B383" s="5">
        <f t="shared" si="20"/>
        <v>9</v>
      </c>
      <c r="C383" s="5">
        <f t="shared" si="21"/>
        <v>7</v>
      </c>
      <c r="D383" s="5">
        <f t="shared" si="22"/>
        <v>2021</v>
      </c>
      <c r="E383" s="5" t="str">
        <f t="shared" si="23"/>
        <v>Q3</v>
      </c>
      <c r="F383" s="5">
        <v>124.02600099999999</v>
      </c>
      <c r="G383" s="5">
        <v>125.5954971</v>
      </c>
      <c r="H383" s="5">
        <v>124.0220032</v>
      </c>
      <c r="I383" s="5">
        <v>125.0439987</v>
      </c>
      <c r="J383" s="5">
        <v>23790000</v>
      </c>
      <c r="K383" s="5">
        <v>124.59234619999999</v>
      </c>
    </row>
    <row r="384" spans="1:11" hidden="1">
      <c r="A384" s="4">
        <v>44389</v>
      </c>
      <c r="B384" s="5">
        <f t="shared" si="20"/>
        <v>12</v>
      </c>
      <c r="C384" s="5">
        <f t="shared" si="21"/>
        <v>7</v>
      </c>
      <c r="D384" s="5">
        <f t="shared" si="22"/>
        <v>2021</v>
      </c>
      <c r="E384" s="5" t="str">
        <f t="shared" si="23"/>
        <v>Q3</v>
      </c>
      <c r="F384" s="5">
        <v>125.0250015</v>
      </c>
      <c r="G384" s="5">
        <v>125.7344971</v>
      </c>
      <c r="H384" s="5">
        <v>124.5514984</v>
      </c>
      <c r="I384" s="5">
        <v>125.5185013</v>
      </c>
      <c r="J384" s="5">
        <v>18632000</v>
      </c>
      <c r="K384" s="5">
        <v>125.0651245</v>
      </c>
    </row>
    <row r="385" spans="1:11" hidden="1">
      <c r="A385" s="4">
        <v>44390</v>
      </c>
      <c r="B385" s="5">
        <f t="shared" si="20"/>
        <v>13</v>
      </c>
      <c r="C385" s="5">
        <f t="shared" si="21"/>
        <v>7</v>
      </c>
      <c r="D385" s="5">
        <f t="shared" si="22"/>
        <v>2021</v>
      </c>
      <c r="E385" s="5" t="str">
        <f t="shared" si="23"/>
        <v>Q3</v>
      </c>
      <c r="F385" s="5">
        <v>126.1780014</v>
      </c>
      <c r="G385" s="5">
        <v>127.06950380000001</v>
      </c>
      <c r="H385" s="5">
        <v>125.6110001</v>
      </c>
      <c r="I385" s="5">
        <v>126.97550200000001</v>
      </c>
      <c r="J385" s="5">
        <v>17668000</v>
      </c>
      <c r="K385" s="5">
        <v>126.5168686</v>
      </c>
    </row>
    <row r="386" spans="1:11" hidden="1">
      <c r="A386" s="4">
        <v>44391</v>
      </c>
      <c r="B386" s="5">
        <f t="shared" ref="B386:B449" si="24">DAY(A386)</f>
        <v>14</v>
      </c>
      <c r="C386" s="5">
        <f t="shared" ref="C386:C449" si="25">MONTH(A386)</f>
        <v>7</v>
      </c>
      <c r="D386" s="5">
        <f t="shared" ref="D386:D449" si="26">YEAR(A386)</f>
        <v>2021</v>
      </c>
      <c r="E386" s="5" t="str">
        <f t="shared" ref="E386:E449" si="27">"Q"&amp;ROUNDUP(MONTH(A386)/3,0)</f>
        <v>Q3</v>
      </c>
      <c r="F386" s="5">
        <v>127.0384979</v>
      </c>
      <c r="G386" s="5">
        <v>128.05749510000001</v>
      </c>
      <c r="H386" s="5">
        <v>126.6744995</v>
      </c>
      <c r="I386" s="5">
        <v>127.3414993</v>
      </c>
      <c r="J386" s="5">
        <v>19240000</v>
      </c>
      <c r="K386" s="5">
        <v>126.881546</v>
      </c>
    </row>
    <row r="387" spans="1:11" hidden="1">
      <c r="A387" s="4">
        <v>44392</v>
      </c>
      <c r="B387" s="5">
        <f t="shared" si="24"/>
        <v>15</v>
      </c>
      <c r="C387" s="5">
        <f t="shared" si="25"/>
        <v>7</v>
      </c>
      <c r="D387" s="5">
        <f t="shared" si="26"/>
        <v>2021</v>
      </c>
      <c r="E387" s="5" t="str">
        <f t="shared" si="27"/>
        <v>Q3</v>
      </c>
      <c r="F387" s="5">
        <v>127.9580002</v>
      </c>
      <c r="G387" s="5">
        <v>129.32650760000001</v>
      </c>
      <c r="H387" s="5">
        <v>127.9144974</v>
      </c>
      <c r="I387" s="5">
        <v>128.2369995</v>
      </c>
      <c r="J387" s="5">
        <v>23742000</v>
      </c>
      <c r="K387" s="5">
        <v>127.7738037</v>
      </c>
    </row>
    <row r="388" spans="1:11" hidden="1">
      <c r="A388" s="4">
        <v>44393</v>
      </c>
      <c r="B388" s="5">
        <f t="shared" si="24"/>
        <v>16</v>
      </c>
      <c r="C388" s="5">
        <f t="shared" si="25"/>
        <v>7</v>
      </c>
      <c r="D388" s="5">
        <f t="shared" si="26"/>
        <v>2021</v>
      </c>
      <c r="E388" s="5" t="str">
        <f t="shared" si="27"/>
        <v>Q3</v>
      </c>
      <c r="F388" s="5">
        <v>128.64900209999999</v>
      </c>
      <c r="G388" s="5">
        <v>128.6999969</v>
      </c>
      <c r="H388" s="5">
        <v>126.5299988</v>
      </c>
      <c r="I388" s="5">
        <v>127.0049973</v>
      </c>
      <c r="J388" s="5">
        <v>24218000</v>
      </c>
      <c r="K388" s="5">
        <v>126.546257</v>
      </c>
    </row>
    <row r="389" spans="1:11" hidden="1">
      <c r="A389" s="4">
        <v>44396</v>
      </c>
      <c r="B389" s="5">
        <f t="shared" si="24"/>
        <v>19</v>
      </c>
      <c r="C389" s="5">
        <f t="shared" si="25"/>
        <v>7</v>
      </c>
      <c r="D389" s="5">
        <f t="shared" si="26"/>
        <v>2021</v>
      </c>
      <c r="E389" s="5" t="str">
        <f t="shared" si="27"/>
        <v>Q3</v>
      </c>
      <c r="F389" s="5">
        <v>127.66300200000001</v>
      </c>
      <c r="G389" s="5">
        <v>127.81150049999999</v>
      </c>
      <c r="H389" s="5">
        <v>126.15350340000001</v>
      </c>
      <c r="I389" s="5">
        <v>126.9700012</v>
      </c>
      <c r="J389" s="5">
        <v>20424000</v>
      </c>
      <c r="K389" s="5">
        <v>126.51139070000001</v>
      </c>
    </row>
    <row r="390" spans="1:11" hidden="1">
      <c r="A390" s="4">
        <v>44397</v>
      </c>
      <c r="B390" s="5">
        <f t="shared" si="24"/>
        <v>20</v>
      </c>
      <c r="C390" s="5">
        <f t="shared" si="25"/>
        <v>7</v>
      </c>
      <c r="D390" s="5">
        <f t="shared" si="26"/>
        <v>2021</v>
      </c>
      <c r="E390" s="5" t="str">
        <f t="shared" si="27"/>
        <v>Q3</v>
      </c>
      <c r="F390" s="5">
        <v>126.08950040000001</v>
      </c>
      <c r="G390" s="5">
        <v>126.20500180000001</v>
      </c>
      <c r="H390" s="5">
        <v>123.5049973</v>
      </c>
      <c r="I390" s="5">
        <v>124.5780029</v>
      </c>
      <c r="J390" s="5">
        <v>27968000</v>
      </c>
      <c r="K390" s="5">
        <v>124.12802120000001</v>
      </c>
    </row>
    <row r="391" spans="1:11" hidden="1">
      <c r="A391" s="4">
        <v>44398</v>
      </c>
      <c r="B391" s="5">
        <f t="shared" si="24"/>
        <v>21</v>
      </c>
      <c r="C391" s="5">
        <f t="shared" si="25"/>
        <v>7</v>
      </c>
      <c r="D391" s="5">
        <f t="shared" si="26"/>
        <v>2021</v>
      </c>
      <c r="E391" s="5" t="str">
        <f t="shared" si="27"/>
        <v>Q3</v>
      </c>
      <c r="F391" s="5">
        <v>125.5274963</v>
      </c>
      <c r="G391" s="5">
        <v>127.04299930000001</v>
      </c>
      <c r="H391" s="5">
        <v>124.35050200000001</v>
      </c>
      <c r="I391" s="5">
        <v>126.2095032</v>
      </c>
      <c r="J391" s="5">
        <v>26312000</v>
      </c>
      <c r="K391" s="5">
        <v>125.75363919999999</v>
      </c>
    </row>
    <row r="392" spans="1:11" hidden="1">
      <c r="A392" s="4">
        <v>44399</v>
      </c>
      <c r="B392" s="5">
        <f t="shared" si="24"/>
        <v>22</v>
      </c>
      <c r="C392" s="5">
        <f t="shared" si="25"/>
        <v>7</v>
      </c>
      <c r="D392" s="5">
        <f t="shared" si="26"/>
        <v>2021</v>
      </c>
      <c r="E392" s="5" t="str">
        <f t="shared" si="27"/>
        <v>Q3</v>
      </c>
      <c r="F392" s="5">
        <v>126.13349909999999</v>
      </c>
      <c r="G392" s="5">
        <v>127.5960007</v>
      </c>
      <c r="H392" s="5">
        <v>126.0234985</v>
      </c>
      <c r="I392" s="5">
        <v>127.54900360000001</v>
      </c>
      <c r="J392" s="5">
        <v>20746000</v>
      </c>
      <c r="K392" s="5">
        <v>127.08830260000001</v>
      </c>
    </row>
    <row r="393" spans="1:11" hidden="1">
      <c r="A393" s="4">
        <v>44400</v>
      </c>
      <c r="B393" s="5">
        <f t="shared" si="24"/>
        <v>23</v>
      </c>
      <c r="C393" s="5">
        <f t="shared" si="25"/>
        <v>7</v>
      </c>
      <c r="D393" s="5">
        <f t="shared" si="26"/>
        <v>2021</v>
      </c>
      <c r="E393" s="5" t="str">
        <f t="shared" si="27"/>
        <v>Q3</v>
      </c>
      <c r="F393" s="5">
        <v>127.8440018</v>
      </c>
      <c r="G393" s="5">
        <v>128.48300169999999</v>
      </c>
      <c r="H393" s="5">
        <v>127.49900049999999</v>
      </c>
      <c r="I393" s="5">
        <v>128.4214935</v>
      </c>
      <c r="J393" s="5">
        <v>14302000</v>
      </c>
      <c r="K393" s="5">
        <v>127.957634</v>
      </c>
    </row>
    <row r="394" spans="1:11" hidden="1">
      <c r="A394" s="4">
        <v>44403</v>
      </c>
      <c r="B394" s="5">
        <f t="shared" si="24"/>
        <v>26</v>
      </c>
      <c r="C394" s="5">
        <f t="shared" si="25"/>
        <v>7</v>
      </c>
      <c r="D394" s="5">
        <f t="shared" si="26"/>
        <v>2021</v>
      </c>
      <c r="E394" s="5" t="str">
        <f t="shared" si="27"/>
        <v>Q3</v>
      </c>
      <c r="F394" s="5">
        <v>130.43049619999999</v>
      </c>
      <c r="G394" s="5">
        <v>133.39900209999999</v>
      </c>
      <c r="H394" s="5">
        <v>129.80050660000001</v>
      </c>
      <c r="I394" s="5">
        <v>133.01499939999999</v>
      </c>
      <c r="J394" s="5">
        <v>41506000</v>
      </c>
      <c r="K394" s="5">
        <v>132.53454590000001</v>
      </c>
    </row>
    <row r="395" spans="1:11" hidden="1">
      <c r="A395" s="4">
        <v>44404</v>
      </c>
      <c r="B395" s="5">
        <f t="shared" si="24"/>
        <v>27</v>
      </c>
      <c r="C395" s="5">
        <f t="shared" si="25"/>
        <v>7</v>
      </c>
      <c r="D395" s="5">
        <f t="shared" si="26"/>
        <v>2021</v>
      </c>
      <c r="E395" s="5" t="str">
        <f t="shared" si="27"/>
        <v>Q3</v>
      </c>
      <c r="F395" s="5">
        <v>133.3285065</v>
      </c>
      <c r="G395" s="5">
        <v>134.2369995</v>
      </c>
      <c r="H395" s="5">
        <v>132.30149840000001</v>
      </c>
      <c r="I395" s="5">
        <v>134.0350037</v>
      </c>
      <c r="J395" s="5">
        <v>30572000</v>
      </c>
      <c r="K395" s="5">
        <v>133.55087280000001</v>
      </c>
    </row>
    <row r="396" spans="1:11" hidden="1">
      <c r="A396" s="4">
        <v>44405</v>
      </c>
      <c r="B396" s="5">
        <f t="shared" si="24"/>
        <v>28</v>
      </c>
      <c r="C396" s="5">
        <f t="shared" si="25"/>
        <v>7</v>
      </c>
      <c r="D396" s="5">
        <f t="shared" si="26"/>
        <v>2021</v>
      </c>
      <c r="E396" s="5" t="str">
        <f t="shared" si="27"/>
        <v>Q3</v>
      </c>
      <c r="F396" s="5">
        <v>134.25050350000001</v>
      </c>
      <c r="G396" s="5">
        <v>134.39900209999999</v>
      </c>
      <c r="H396" s="5">
        <v>130.10400390000001</v>
      </c>
      <c r="I396" s="5">
        <v>131.8999939</v>
      </c>
      <c r="J396" s="5">
        <v>54710000</v>
      </c>
      <c r="K396" s="5">
        <v>131.4235687</v>
      </c>
    </row>
    <row r="397" spans="1:11" hidden="1">
      <c r="A397" s="4">
        <v>44406</v>
      </c>
      <c r="B397" s="5">
        <f t="shared" si="24"/>
        <v>29</v>
      </c>
      <c r="C397" s="5">
        <f t="shared" si="25"/>
        <v>7</v>
      </c>
      <c r="D397" s="5">
        <f t="shared" si="26"/>
        <v>2021</v>
      </c>
      <c r="E397" s="5" t="str">
        <f t="shared" si="27"/>
        <v>Q3</v>
      </c>
      <c r="F397" s="5">
        <v>136.31199649999999</v>
      </c>
      <c r="G397" s="5">
        <v>138.2969971</v>
      </c>
      <c r="H397" s="5">
        <v>135.2774963</v>
      </c>
      <c r="I397" s="5">
        <v>136.0939941</v>
      </c>
      <c r="J397" s="5">
        <v>95130000</v>
      </c>
      <c r="K397" s="5">
        <v>135.6024323</v>
      </c>
    </row>
    <row r="398" spans="1:11" hidden="1">
      <c r="A398" s="4">
        <v>44407</v>
      </c>
      <c r="B398" s="5">
        <f t="shared" si="24"/>
        <v>30</v>
      </c>
      <c r="C398" s="5">
        <f t="shared" si="25"/>
        <v>7</v>
      </c>
      <c r="D398" s="5">
        <f t="shared" si="26"/>
        <v>2021</v>
      </c>
      <c r="E398" s="5" t="str">
        <f t="shared" si="27"/>
        <v>Q3</v>
      </c>
      <c r="F398" s="5">
        <v>136.1499939</v>
      </c>
      <c r="G398" s="5">
        <v>136.66099550000001</v>
      </c>
      <c r="H398" s="5">
        <v>135.54299929999999</v>
      </c>
      <c r="I398" s="5">
        <v>135.7774963</v>
      </c>
      <c r="J398" s="5">
        <v>31716000</v>
      </c>
      <c r="K398" s="5">
        <v>135.28707890000001</v>
      </c>
    </row>
    <row r="399" spans="1:11" hidden="1">
      <c r="A399" s="4">
        <v>44410</v>
      </c>
      <c r="B399" s="5">
        <f t="shared" si="24"/>
        <v>2</v>
      </c>
      <c r="C399" s="5">
        <f t="shared" si="25"/>
        <v>8</v>
      </c>
      <c r="D399" s="5">
        <f t="shared" si="26"/>
        <v>2021</v>
      </c>
      <c r="E399" s="5" t="str">
        <f t="shared" si="27"/>
        <v>Q3</v>
      </c>
      <c r="F399" s="5">
        <v>135.0350037</v>
      </c>
      <c r="G399" s="5">
        <v>135.30450440000001</v>
      </c>
      <c r="H399" s="5">
        <v>134.25500489999999</v>
      </c>
      <c r="I399" s="5">
        <v>134.72650150000001</v>
      </c>
      <c r="J399" s="5">
        <v>25576000</v>
      </c>
      <c r="K399" s="5">
        <v>134.23986819999999</v>
      </c>
    </row>
    <row r="400" spans="1:11" hidden="1">
      <c r="A400" s="4">
        <v>44411</v>
      </c>
      <c r="B400" s="5">
        <f t="shared" si="24"/>
        <v>3</v>
      </c>
      <c r="C400" s="5">
        <f t="shared" si="25"/>
        <v>8</v>
      </c>
      <c r="D400" s="5">
        <f t="shared" si="26"/>
        <v>2021</v>
      </c>
      <c r="E400" s="5" t="str">
        <f t="shared" si="27"/>
        <v>Q3</v>
      </c>
      <c r="F400" s="5">
        <v>135.11700440000001</v>
      </c>
      <c r="G400" s="5">
        <v>135.33650209999999</v>
      </c>
      <c r="H400" s="5">
        <v>133.79400630000001</v>
      </c>
      <c r="I400" s="5">
        <v>134.85450739999999</v>
      </c>
      <c r="J400" s="5">
        <v>21634000</v>
      </c>
      <c r="K400" s="5">
        <v>134.3674316</v>
      </c>
    </row>
    <row r="401" spans="1:11" hidden="1">
      <c r="A401" s="4">
        <v>44412</v>
      </c>
      <c r="B401" s="5">
        <f t="shared" si="24"/>
        <v>4</v>
      </c>
      <c r="C401" s="5">
        <f t="shared" si="25"/>
        <v>8</v>
      </c>
      <c r="D401" s="5">
        <f t="shared" si="26"/>
        <v>2021</v>
      </c>
      <c r="E401" s="5" t="str">
        <f t="shared" si="27"/>
        <v>Q3</v>
      </c>
      <c r="F401" s="5">
        <v>135.1349945</v>
      </c>
      <c r="G401" s="5">
        <v>135.73199460000001</v>
      </c>
      <c r="H401" s="5">
        <v>133.31950380000001</v>
      </c>
      <c r="I401" s="5">
        <v>135.63000489999999</v>
      </c>
      <c r="J401" s="5">
        <v>20762000</v>
      </c>
      <c r="K401" s="5">
        <v>135.14010619999999</v>
      </c>
    </row>
    <row r="402" spans="1:11" hidden="1">
      <c r="A402" s="4">
        <v>44413</v>
      </c>
      <c r="B402" s="5">
        <f t="shared" si="24"/>
        <v>5</v>
      </c>
      <c r="C402" s="5">
        <f t="shared" si="25"/>
        <v>8</v>
      </c>
      <c r="D402" s="5">
        <f t="shared" si="26"/>
        <v>2021</v>
      </c>
      <c r="E402" s="5" t="str">
        <f t="shared" si="27"/>
        <v>Q3</v>
      </c>
      <c r="F402" s="5">
        <v>135.34950259999999</v>
      </c>
      <c r="G402" s="5">
        <v>135.6495056</v>
      </c>
      <c r="H402" s="5">
        <v>134.4869995</v>
      </c>
      <c r="I402" s="5">
        <v>135.12550350000001</v>
      </c>
      <c r="J402" s="5">
        <v>19676000</v>
      </c>
      <c r="K402" s="5">
        <v>134.63742070000001</v>
      </c>
    </row>
    <row r="403" spans="1:11" hidden="1">
      <c r="A403" s="4">
        <v>44414</v>
      </c>
      <c r="B403" s="5">
        <f t="shared" si="24"/>
        <v>6</v>
      </c>
      <c r="C403" s="5">
        <f t="shared" si="25"/>
        <v>8</v>
      </c>
      <c r="D403" s="5">
        <f t="shared" si="26"/>
        <v>2021</v>
      </c>
      <c r="E403" s="5" t="str">
        <f t="shared" si="27"/>
        <v>Q3</v>
      </c>
      <c r="F403" s="5">
        <v>135.68049619999999</v>
      </c>
      <c r="G403" s="5">
        <v>136.3500061</v>
      </c>
      <c r="H403" s="5">
        <v>134.84599299999999</v>
      </c>
      <c r="I403" s="5">
        <v>136.25149540000001</v>
      </c>
      <c r="J403" s="5">
        <v>17870000</v>
      </c>
      <c r="K403" s="5">
        <v>135.7593536</v>
      </c>
    </row>
    <row r="404" spans="1:11" hidden="1">
      <c r="A404" s="4">
        <v>44417</v>
      </c>
      <c r="B404" s="5">
        <f t="shared" si="24"/>
        <v>9</v>
      </c>
      <c r="C404" s="5">
        <f t="shared" si="25"/>
        <v>8</v>
      </c>
      <c r="D404" s="5">
        <f t="shared" si="26"/>
        <v>2021</v>
      </c>
      <c r="E404" s="5" t="str">
        <f t="shared" si="27"/>
        <v>Q3</v>
      </c>
      <c r="F404" s="5">
        <v>136.04200739999999</v>
      </c>
      <c r="G404" s="5">
        <v>136.4725037</v>
      </c>
      <c r="H404" s="5">
        <v>135.21000670000001</v>
      </c>
      <c r="I404" s="5">
        <v>135.73849490000001</v>
      </c>
      <c r="J404" s="5">
        <v>20488000</v>
      </c>
      <c r="K404" s="5">
        <v>135.2481995</v>
      </c>
    </row>
    <row r="405" spans="1:11" hidden="1">
      <c r="A405" s="4">
        <v>44418</v>
      </c>
      <c r="B405" s="5">
        <f t="shared" si="24"/>
        <v>10</v>
      </c>
      <c r="C405" s="5">
        <f t="shared" si="25"/>
        <v>8</v>
      </c>
      <c r="D405" s="5">
        <f t="shared" si="26"/>
        <v>2021</v>
      </c>
      <c r="E405" s="5" t="str">
        <f t="shared" si="27"/>
        <v>Q3</v>
      </c>
      <c r="F405" s="5">
        <v>135.94250489999999</v>
      </c>
      <c r="G405" s="5">
        <v>137.1840057</v>
      </c>
      <c r="H405" s="5">
        <v>135.33949279999999</v>
      </c>
      <c r="I405" s="5">
        <v>136.9129944</v>
      </c>
      <c r="J405" s="5">
        <v>17760000</v>
      </c>
      <c r="K405" s="5">
        <v>136.41845699999999</v>
      </c>
    </row>
    <row r="406" spans="1:11" hidden="1">
      <c r="A406" s="4">
        <v>44419</v>
      </c>
      <c r="B406" s="5">
        <f t="shared" si="24"/>
        <v>11</v>
      </c>
      <c r="C406" s="5">
        <f t="shared" si="25"/>
        <v>8</v>
      </c>
      <c r="D406" s="5">
        <f t="shared" si="26"/>
        <v>2021</v>
      </c>
      <c r="E406" s="5" t="str">
        <f t="shared" si="27"/>
        <v>Q3</v>
      </c>
      <c r="F406" s="5">
        <v>137.34199520000001</v>
      </c>
      <c r="G406" s="5">
        <v>137.77250670000001</v>
      </c>
      <c r="H406" s="5">
        <v>136.36450199999999</v>
      </c>
      <c r="I406" s="5">
        <v>136.80700680000001</v>
      </c>
      <c r="J406" s="5">
        <v>19414000</v>
      </c>
      <c r="K406" s="5">
        <v>136.31285099999999</v>
      </c>
    </row>
    <row r="407" spans="1:11" hidden="1">
      <c r="A407" s="4">
        <v>44420</v>
      </c>
      <c r="B407" s="5">
        <f t="shared" si="24"/>
        <v>12</v>
      </c>
      <c r="C407" s="5">
        <f t="shared" si="25"/>
        <v>8</v>
      </c>
      <c r="D407" s="5">
        <f t="shared" si="26"/>
        <v>2021</v>
      </c>
      <c r="E407" s="5" t="str">
        <f t="shared" si="27"/>
        <v>Q3</v>
      </c>
      <c r="F407" s="5">
        <v>137.1815033</v>
      </c>
      <c r="G407" s="5">
        <v>137.68249510000001</v>
      </c>
      <c r="H407" s="5">
        <v>136.2714996</v>
      </c>
      <c r="I407" s="5">
        <v>136.27900700000001</v>
      </c>
      <c r="J407" s="5">
        <v>15352000</v>
      </c>
      <c r="K407" s="5">
        <v>135.7867737</v>
      </c>
    </row>
    <row r="408" spans="1:11" hidden="1">
      <c r="A408" s="4">
        <v>44421</v>
      </c>
      <c r="B408" s="5">
        <f t="shared" si="24"/>
        <v>13</v>
      </c>
      <c r="C408" s="5">
        <f t="shared" si="25"/>
        <v>8</v>
      </c>
      <c r="D408" s="5">
        <f t="shared" si="26"/>
        <v>2021</v>
      </c>
      <c r="E408" s="5" t="str">
        <f t="shared" si="27"/>
        <v>Q3</v>
      </c>
      <c r="F408" s="5">
        <v>135.9754944</v>
      </c>
      <c r="G408" s="5">
        <v>137.3000031</v>
      </c>
      <c r="H408" s="5">
        <v>135.42550660000001</v>
      </c>
      <c r="I408" s="5">
        <v>137.1940002</v>
      </c>
      <c r="J408" s="5">
        <v>16506000</v>
      </c>
      <c r="K408" s="5">
        <v>136.6984558</v>
      </c>
    </row>
    <row r="409" spans="1:11" hidden="1">
      <c r="A409" s="4">
        <v>44424</v>
      </c>
      <c r="B409" s="5">
        <f t="shared" si="24"/>
        <v>16</v>
      </c>
      <c r="C409" s="5">
        <f t="shared" si="25"/>
        <v>8</v>
      </c>
      <c r="D409" s="5">
        <f t="shared" si="26"/>
        <v>2021</v>
      </c>
      <c r="E409" s="5" t="str">
        <f t="shared" si="27"/>
        <v>Q3</v>
      </c>
      <c r="F409" s="5">
        <v>137.25</v>
      </c>
      <c r="G409" s="5">
        <v>137.85650630000001</v>
      </c>
      <c r="H409" s="5">
        <v>137.03300479999999</v>
      </c>
      <c r="I409" s="5">
        <v>137.72749329999999</v>
      </c>
      <c r="J409" s="5">
        <v>15948000</v>
      </c>
      <c r="K409" s="5">
        <v>137.23001099999999</v>
      </c>
    </row>
    <row r="410" spans="1:11" hidden="1">
      <c r="A410" s="4">
        <v>44425</v>
      </c>
      <c r="B410" s="5">
        <f t="shared" si="24"/>
        <v>17</v>
      </c>
      <c r="C410" s="5">
        <f t="shared" si="25"/>
        <v>8</v>
      </c>
      <c r="D410" s="5">
        <f t="shared" si="26"/>
        <v>2021</v>
      </c>
      <c r="E410" s="5" t="str">
        <f t="shared" si="27"/>
        <v>Q3</v>
      </c>
      <c r="F410" s="5">
        <v>137.5249939</v>
      </c>
      <c r="G410" s="5">
        <v>138.3625031</v>
      </c>
      <c r="H410" s="5">
        <v>135.29899599999999</v>
      </c>
      <c r="I410" s="5">
        <v>138.309494</v>
      </c>
      <c r="J410" s="5">
        <v>22384000</v>
      </c>
      <c r="K410" s="5">
        <v>137.80993649999999</v>
      </c>
    </row>
    <row r="411" spans="1:11" hidden="1">
      <c r="A411" s="4">
        <v>44426</v>
      </c>
      <c r="B411" s="5">
        <f t="shared" si="24"/>
        <v>18</v>
      </c>
      <c r="C411" s="5">
        <f t="shared" si="25"/>
        <v>8</v>
      </c>
      <c r="D411" s="5">
        <f t="shared" si="26"/>
        <v>2021</v>
      </c>
      <c r="E411" s="5" t="str">
        <f t="shared" si="27"/>
        <v>Q3</v>
      </c>
      <c r="F411" s="5">
        <v>137.75</v>
      </c>
      <c r="G411" s="5">
        <v>138.2655029</v>
      </c>
      <c r="H411" s="5">
        <v>136.08200070000001</v>
      </c>
      <c r="I411" s="5">
        <v>136.66149899999999</v>
      </c>
      <c r="J411" s="5">
        <v>21716000</v>
      </c>
      <c r="K411" s="5">
        <v>136.16787719999999</v>
      </c>
    </row>
    <row r="412" spans="1:11" hidden="1">
      <c r="A412" s="4">
        <v>44427</v>
      </c>
      <c r="B412" s="5">
        <f t="shared" si="24"/>
        <v>19</v>
      </c>
      <c r="C412" s="5">
        <f t="shared" si="25"/>
        <v>8</v>
      </c>
      <c r="D412" s="5">
        <f t="shared" si="26"/>
        <v>2021</v>
      </c>
      <c r="E412" s="5" t="str">
        <f t="shared" si="27"/>
        <v>Q3</v>
      </c>
      <c r="F412" s="5">
        <v>136.5</v>
      </c>
      <c r="G412" s="5">
        <v>137.10450739999999</v>
      </c>
      <c r="H412" s="5">
        <v>135.3215027</v>
      </c>
      <c r="I412" s="5">
        <v>135.44900509999999</v>
      </c>
      <c r="J412" s="5">
        <v>19258000</v>
      </c>
      <c r="K412" s="5">
        <v>134.9597626</v>
      </c>
    </row>
    <row r="413" spans="1:11" hidden="1">
      <c r="A413" s="4">
        <v>44428</v>
      </c>
      <c r="B413" s="5">
        <f t="shared" si="24"/>
        <v>20</v>
      </c>
      <c r="C413" s="5">
        <f t="shared" si="25"/>
        <v>8</v>
      </c>
      <c r="D413" s="5">
        <f t="shared" si="26"/>
        <v>2021</v>
      </c>
      <c r="E413" s="5" t="str">
        <f t="shared" si="27"/>
        <v>Q3</v>
      </c>
      <c r="F413" s="5">
        <v>134.43550110000001</v>
      </c>
      <c r="G413" s="5">
        <v>136.35249329999999</v>
      </c>
      <c r="H413" s="5">
        <v>134.25</v>
      </c>
      <c r="I413" s="5">
        <v>135.67999270000001</v>
      </c>
      <c r="J413" s="5">
        <v>21782000</v>
      </c>
      <c r="K413" s="5">
        <v>135.18992610000001</v>
      </c>
    </row>
    <row r="414" spans="1:11" hidden="1">
      <c r="A414" s="4">
        <v>44431</v>
      </c>
      <c r="B414" s="5">
        <f t="shared" si="24"/>
        <v>23</v>
      </c>
      <c r="C414" s="5">
        <f t="shared" si="25"/>
        <v>8</v>
      </c>
      <c r="D414" s="5">
        <f t="shared" si="26"/>
        <v>2021</v>
      </c>
      <c r="E414" s="5" t="str">
        <f t="shared" si="27"/>
        <v>Q3</v>
      </c>
      <c r="F414" s="5">
        <v>136</v>
      </c>
      <c r="G414" s="5">
        <v>137.55400090000001</v>
      </c>
      <c r="H414" s="5">
        <v>135.25</v>
      </c>
      <c r="I414" s="5">
        <v>137.42950440000001</v>
      </c>
      <c r="J414" s="5">
        <v>31194000</v>
      </c>
      <c r="K414" s="5">
        <v>136.93312069999999</v>
      </c>
    </row>
    <row r="415" spans="1:11" hidden="1">
      <c r="A415" s="4">
        <v>44432</v>
      </c>
      <c r="B415" s="5">
        <f t="shared" si="24"/>
        <v>24</v>
      </c>
      <c r="C415" s="5">
        <f t="shared" si="25"/>
        <v>8</v>
      </c>
      <c r="D415" s="5">
        <f t="shared" si="26"/>
        <v>2021</v>
      </c>
      <c r="E415" s="5" t="str">
        <f t="shared" si="27"/>
        <v>Q3</v>
      </c>
      <c r="F415" s="5">
        <v>137.96949770000001</v>
      </c>
      <c r="G415" s="5">
        <v>140.87449649999999</v>
      </c>
      <c r="H415" s="5">
        <v>137.60749820000001</v>
      </c>
      <c r="I415" s="5">
        <v>140.04150390000001</v>
      </c>
      <c r="J415" s="5">
        <v>28454000</v>
      </c>
      <c r="K415" s="5">
        <v>139.5356903</v>
      </c>
    </row>
    <row r="416" spans="1:11" hidden="1">
      <c r="A416" s="4">
        <v>44433</v>
      </c>
      <c r="B416" s="5">
        <f t="shared" si="24"/>
        <v>25</v>
      </c>
      <c r="C416" s="5">
        <f t="shared" si="25"/>
        <v>8</v>
      </c>
      <c r="D416" s="5">
        <f t="shared" si="26"/>
        <v>2021</v>
      </c>
      <c r="E416" s="5" t="str">
        <f t="shared" si="27"/>
        <v>Q3</v>
      </c>
      <c r="F416" s="5">
        <v>140.61149599999999</v>
      </c>
      <c r="G416" s="5">
        <v>142.08000179999999</v>
      </c>
      <c r="H416" s="5">
        <v>140.33850100000001</v>
      </c>
      <c r="I416" s="5">
        <v>141.26150509999999</v>
      </c>
      <c r="J416" s="5">
        <v>19268000</v>
      </c>
      <c r="K416" s="5">
        <v>140.75126650000001</v>
      </c>
    </row>
    <row r="417" spans="1:11" hidden="1">
      <c r="A417" s="4">
        <v>44434</v>
      </c>
      <c r="B417" s="5">
        <f t="shared" si="24"/>
        <v>26</v>
      </c>
      <c r="C417" s="5">
        <f t="shared" si="25"/>
        <v>8</v>
      </c>
      <c r="D417" s="5">
        <f t="shared" si="26"/>
        <v>2021</v>
      </c>
      <c r="E417" s="5" t="str">
        <f t="shared" si="27"/>
        <v>Q3</v>
      </c>
      <c r="F417" s="5">
        <v>141.625</v>
      </c>
      <c r="G417" s="5">
        <v>142.18949889999999</v>
      </c>
      <c r="H417" s="5">
        <v>141.37600710000001</v>
      </c>
      <c r="I417" s="5">
        <v>142.0789948</v>
      </c>
      <c r="J417" s="5">
        <v>15848000</v>
      </c>
      <c r="K417" s="5">
        <v>141.56581120000001</v>
      </c>
    </row>
    <row r="418" spans="1:11" hidden="1">
      <c r="A418" s="4">
        <v>44435</v>
      </c>
      <c r="B418" s="5">
        <f t="shared" si="24"/>
        <v>27</v>
      </c>
      <c r="C418" s="5">
        <f t="shared" si="25"/>
        <v>8</v>
      </c>
      <c r="D418" s="5">
        <f t="shared" si="26"/>
        <v>2021</v>
      </c>
      <c r="E418" s="5" t="str">
        <f t="shared" si="27"/>
        <v>Q3</v>
      </c>
      <c r="F418" s="5">
        <v>141.75</v>
      </c>
      <c r="G418" s="5">
        <v>142.41749569999999</v>
      </c>
      <c r="H418" s="5">
        <v>141.35699460000001</v>
      </c>
      <c r="I418" s="5">
        <v>141.440506</v>
      </c>
      <c r="J418" s="5">
        <v>20610000</v>
      </c>
      <c r="K418" s="5">
        <v>140.92962650000001</v>
      </c>
    </row>
    <row r="419" spans="1:11" hidden="1">
      <c r="A419" s="4">
        <v>44438</v>
      </c>
      <c r="B419" s="5">
        <f t="shared" si="24"/>
        <v>30</v>
      </c>
      <c r="C419" s="5">
        <f t="shared" si="25"/>
        <v>8</v>
      </c>
      <c r="D419" s="5">
        <f t="shared" si="26"/>
        <v>2021</v>
      </c>
      <c r="E419" s="5" t="str">
        <f t="shared" si="27"/>
        <v>Q3</v>
      </c>
      <c r="F419" s="5">
        <v>141.6524963</v>
      </c>
      <c r="G419" s="5">
        <v>144.5124969</v>
      </c>
      <c r="H419" s="5">
        <v>141.496994</v>
      </c>
      <c r="I419" s="5">
        <v>144.00399780000001</v>
      </c>
      <c r="J419" s="5">
        <v>28780000</v>
      </c>
      <c r="K419" s="5">
        <v>143.48385619999999</v>
      </c>
    </row>
    <row r="420" spans="1:11" hidden="1">
      <c r="A420" s="4">
        <v>44439</v>
      </c>
      <c r="B420" s="5">
        <f t="shared" si="24"/>
        <v>31</v>
      </c>
      <c r="C420" s="5">
        <f t="shared" si="25"/>
        <v>8</v>
      </c>
      <c r="D420" s="5">
        <f t="shared" si="26"/>
        <v>2021</v>
      </c>
      <c r="E420" s="5" t="str">
        <f t="shared" si="27"/>
        <v>Q3</v>
      </c>
      <c r="F420" s="5">
        <v>144.3999939</v>
      </c>
      <c r="G420" s="5">
        <v>145.97050479999999</v>
      </c>
      <c r="H420" s="5">
        <v>144.1629944</v>
      </c>
      <c r="I420" s="5">
        <v>144.5904999</v>
      </c>
      <c r="J420" s="5">
        <v>24434000</v>
      </c>
      <c r="K420" s="5">
        <v>144.06823729999999</v>
      </c>
    </row>
    <row r="421" spans="1:11" hidden="1">
      <c r="A421" s="4">
        <v>44440</v>
      </c>
      <c r="B421" s="5">
        <f t="shared" si="24"/>
        <v>1</v>
      </c>
      <c r="C421" s="5">
        <f t="shared" si="25"/>
        <v>9</v>
      </c>
      <c r="D421" s="5">
        <f t="shared" si="26"/>
        <v>2021</v>
      </c>
      <c r="E421" s="5" t="str">
        <f t="shared" si="27"/>
        <v>Q3</v>
      </c>
      <c r="F421" s="5">
        <v>145.1470032</v>
      </c>
      <c r="G421" s="5">
        <v>145.1714935</v>
      </c>
      <c r="H421" s="5">
        <v>144.2810059</v>
      </c>
      <c r="I421" s="5">
        <v>144.6974945</v>
      </c>
      <c r="J421" s="5">
        <v>22448000</v>
      </c>
      <c r="K421" s="5">
        <v>144.17485049999999</v>
      </c>
    </row>
    <row r="422" spans="1:11" hidden="1">
      <c r="A422" s="4">
        <v>44441</v>
      </c>
      <c r="B422" s="5">
        <f t="shared" si="24"/>
        <v>2</v>
      </c>
      <c r="C422" s="5">
        <f t="shared" si="25"/>
        <v>9</v>
      </c>
      <c r="D422" s="5">
        <f t="shared" si="26"/>
        <v>2021</v>
      </c>
      <c r="E422" s="5" t="str">
        <f t="shared" si="27"/>
        <v>Q3</v>
      </c>
      <c r="F422" s="5">
        <v>145</v>
      </c>
      <c r="G422" s="5">
        <v>146.25399780000001</v>
      </c>
      <c r="H422" s="5">
        <v>144.88349909999999</v>
      </c>
      <c r="I422" s="5">
        <v>145.2154999</v>
      </c>
      <c r="J422" s="5">
        <v>21936000</v>
      </c>
      <c r="K422" s="5">
        <v>144.690979</v>
      </c>
    </row>
    <row r="423" spans="1:11" hidden="1">
      <c r="A423" s="4">
        <v>44442</v>
      </c>
      <c r="B423" s="5">
        <f t="shared" si="24"/>
        <v>3</v>
      </c>
      <c r="C423" s="5">
        <f t="shared" si="25"/>
        <v>9</v>
      </c>
      <c r="D423" s="5">
        <f t="shared" si="26"/>
        <v>2021</v>
      </c>
      <c r="E423" s="5" t="str">
        <f t="shared" si="27"/>
        <v>Q3</v>
      </c>
      <c r="F423" s="5">
        <v>145.21600340000001</v>
      </c>
      <c r="G423" s="5">
        <v>145.51950070000001</v>
      </c>
      <c r="H423" s="5">
        <v>143.1849976</v>
      </c>
      <c r="I423" s="5">
        <v>143.28700259999999</v>
      </c>
      <c r="J423" s="5">
        <v>32342000</v>
      </c>
      <c r="K423" s="5">
        <v>142.76945499999999</v>
      </c>
    </row>
    <row r="424" spans="1:11" hidden="1">
      <c r="A424" s="4">
        <v>44446</v>
      </c>
      <c r="B424" s="5">
        <f t="shared" si="24"/>
        <v>7</v>
      </c>
      <c r="C424" s="5">
        <f t="shared" si="25"/>
        <v>9</v>
      </c>
      <c r="D424" s="5">
        <f t="shared" si="26"/>
        <v>2021</v>
      </c>
      <c r="E424" s="5" t="str">
        <f t="shared" si="27"/>
        <v>Q3</v>
      </c>
      <c r="F424" s="5">
        <v>143.08050539999999</v>
      </c>
      <c r="G424" s="5">
        <v>144.15499879999999</v>
      </c>
      <c r="H424" s="5">
        <v>142.40049740000001</v>
      </c>
      <c r="I424" s="5">
        <v>143.73950199999999</v>
      </c>
      <c r="J424" s="5">
        <v>19850000</v>
      </c>
      <c r="K424" s="5">
        <v>143.2203217</v>
      </c>
    </row>
    <row r="425" spans="1:11" hidden="1">
      <c r="A425" s="4">
        <v>44447</v>
      </c>
      <c r="B425" s="5">
        <f t="shared" si="24"/>
        <v>8</v>
      </c>
      <c r="C425" s="5">
        <f t="shared" si="25"/>
        <v>9</v>
      </c>
      <c r="D425" s="5">
        <f t="shared" si="26"/>
        <v>2021</v>
      </c>
      <c r="E425" s="5" t="str">
        <f t="shared" si="27"/>
        <v>Q3</v>
      </c>
      <c r="F425" s="5">
        <v>143.8345032</v>
      </c>
      <c r="G425" s="5">
        <v>144.5650024</v>
      </c>
      <c r="H425" s="5">
        <v>143.6190033</v>
      </c>
      <c r="I425" s="5">
        <v>144.28050229999999</v>
      </c>
      <c r="J425" s="5">
        <v>20124000</v>
      </c>
      <c r="K425" s="5">
        <v>143.7593689</v>
      </c>
    </row>
    <row r="426" spans="1:11" hidden="1">
      <c r="A426" s="4">
        <v>44448</v>
      </c>
      <c r="B426" s="5">
        <f t="shared" si="24"/>
        <v>9</v>
      </c>
      <c r="C426" s="5">
        <f t="shared" si="25"/>
        <v>9</v>
      </c>
      <c r="D426" s="5">
        <f t="shared" si="26"/>
        <v>2021</v>
      </c>
      <c r="E426" s="5" t="str">
        <f t="shared" si="27"/>
        <v>Q3</v>
      </c>
      <c r="F426" s="5">
        <v>144.1000061</v>
      </c>
      <c r="G426" s="5">
        <v>144.3999939</v>
      </c>
      <c r="H426" s="5">
        <v>143</v>
      </c>
      <c r="I426" s="5">
        <v>143.6909943</v>
      </c>
      <c r="J426" s="5">
        <v>18344000</v>
      </c>
      <c r="K426" s="5">
        <v>143.1719818</v>
      </c>
    </row>
    <row r="427" spans="1:11" hidden="1">
      <c r="A427" s="4">
        <v>44449</v>
      </c>
      <c r="B427" s="5">
        <f t="shared" si="24"/>
        <v>10</v>
      </c>
      <c r="C427" s="5">
        <f t="shared" si="25"/>
        <v>9</v>
      </c>
      <c r="D427" s="5">
        <f t="shared" si="26"/>
        <v>2021</v>
      </c>
      <c r="E427" s="5" t="str">
        <f t="shared" si="27"/>
        <v>Q3</v>
      </c>
      <c r="F427" s="5">
        <v>143.8404999</v>
      </c>
      <c r="G427" s="5">
        <v>144.31050110000001</v>
      </c>
      <c r="H427" s="5">
        <v>143.1775055</v>
      </c>
      <c r="I427" s="5">
        <v>143.5410004</v>
      </c>
      <c r="J427" s="5">
        <v>15314000</v>
      </c>
      <c r="K427" s="5">
        <v>143.02253719999999</v>
      </c>
    </row>
    <row r="428" spans="1:11" hidden="1">
      <c r="A428" s="4">
        <v>44452</v>
      </c>
      <c r="B428" s="5">
        <f t="shared" si="24"/>
        <v>13</v>
      </c>
      <c r="C428" s="5">
        <f t="shared" si="25"/>
        <v>9</v>
      </c>
      <c r="D428" s="5">
        <f t="shared" si="26"/>
        <v>2021</v>
      </c>
      <c r="E428" s="5" t="str">
        <f t="shared" si="27"/>
        <v>Q3</v>
      </c>
      <c r="F428" s="5">
        <v>144.2124939</v>
      </c>
      <c r="G428" s="5">
        <v>144.7185059</v>
      </c>
      <c r="H428" s="5">
        <v>140.73800660000001</v>
      </c>
      <c r="I428" s="5">
        <v>140.87600710000001</v>
      </c>
      <c r="J428" s="5">
        <v>36840000</v>
      </c>
      <c r="K428" s="5">
        <v>140.36715699999999</v>
      </c>
    </row>
    <row r="429" spans="1:11" hidden="1">
      <c r="A429" s="4">
        <v>44453</v>
      </c>
      <c r="B429" s="5">
        <f t="shared" si="24"/>
        <v>14</v>
      </c>
      <c r="C429" s="5">
        <f t="shared" si="25"/>
        <v>9</v>
      </c>
      <c r="D429" s="5">
        <f t="shared" si="26"/>
        <v>2021</v>
      </c>
      <c r="E429" s="5" t="str">
        <f t="shared" si="27"/>
        <v>Q3</v>
      </c>
      <c r="F429" s="5">
        <v>141.94949339999999</v>
      </c>
      <c r="G429" s="5">
        <v>142.9499969</v>
      </c>
      <c r="H429" s="5">
        <v>141.25</v>
      </c>
      <c r="I429" s="5">
        <v>142.33250430000001</v>
      </c>
      <c r="J429" s="5">
        <v>22094000</v>
      </c>
      <c r="K429" s="5">
        <v>141.8184052</v>
      </c>
    </row>
    <row r="430" spans="1:11" hidden="1">
      <c r="A430" s="4">
        <v>44454</v>
      </c>
      <c r="B430" s="5">
        <f t="shared" si="24"/>
        <v>15</v>
      </c>
      <c r="C430" s="5">
        <f t="shared" si="25"/>
        <v>9</v>
      </c>
      <c r="D430" s="5">
        <f t="shared" si="26"/>
        <v>2021</v>
      </c>
      <c r="E430" s="5" t="str">
        <f t="shared" si="27"/>
        <v>Q3</v>
      </c>
      <c r="F430" s="5">
        <v>142.99549870000001</v>
      </c>
      <c r="G430" s="5">
        <v>143.36300660000001</v>
      </c>
      <c r="H430" s="5">
        <v>141.75</v>
      </c>
      <c r="I430" s="5">
        <v>142.54449460000001</v>
      </c>
      <c r="J430" s="5">
        <v>19674000</v>
      </c>
      <c r="K430" s="5">
        <v>142.02963260000001</v>
      </c>
    </row>
    <row r="431" spans="1:11" hidden="1">
      <c r="A431" s="4">
        <v>44455</v>
      </c>
      <c r="B431" s="5">
        <f t="shared" si="24"/>
        <v>16</v>
      </c>
      <c r="C431" s="5">
        <f t="shared" si="25"/>
        <v>9</v>
      </c>
      <c r="D431" s="5">
        <f t="shared" si="26"/>
        <v>2021</v>
      </c>
      <c r="E431" s="5" t="str">
        <f t="shared" si="27"/>
        <v>Q3</v>
      </c>
      <c r="F431" s="5">
        <v>142.7714996</v>
      </c>
      <c r="G431" s="5">
        <v>144.4505005</v>
      </c>
      <c r="H431" s="5">
        <v>141.3475037</v>
      </c>
      <c r="I431" s="5">
        <v>144.42950440000001</v>
      </c>
      <c r="J431" s="5">
        <v>27408000</v>
      </c>
      <c r="K431" s="5">
        <v>143.9078217</v>
      </c>
    </row>
    <row r="432" spans="1:11" hidden="1">
      <c r="A432" s="4">
        <v>44456</v>
      </c>
      <c r="B432" s="5">
        <f t="shared" si="24"/>
        <v>17</v>
      </c>
      <c r="C432" s="5">
        <f t="shared" si="25"/>
        <v>9</v>
      </c>
      <c r="D432" s="5">
        <f t="shared" si="26"/>
        <v>2021</v>
      </c>
      <c r="E432" s="5" t="str">
        <f t="shared" si="27"/>
        <v>Q3</v>
      </c>
      <c r="F432" s="5">
        <v>143.9505005</v>
      </c>
      <c r="G432" s="5">
        <v>144.3000031</v>
      </c>
      <c r="H432" s="5">
        <v>142.40150449999999</v>
      </c>
      <c r="I432" s="5">
        <v>143.61000060000001</v>
      </c>
      <c r="J432" s="5">
        <v>26190000</v>
      </c>
      <c r="K432" s="5">
        <v>143.09127810000001</v>
      </c>
    </row>
    <row r="433" spans="1:11" hidden="1">
      <c r="A433" s="4">
        <v>44459</v>
      </c>
      <c r="B433" s="5">
        <f t="shared" si="24"/>
        <v>20</v>
      </c>
      <c r="C433" s="5">
        <f t="shared" si="25"/>
        <v>9</v>
      </c>
      <c r="D433" s="5">
        <f t="shared" si="26"/>
        <v>2021</v>
      </c>
      <c r="E433" s="5" t="str">
        <f t="shared" si="27"/>
        <v>Q3</v>
      </c>
      <c r="F433" s="5">
        <v>143.03050229999999</v>
      </c>
      <c r="G433" s="5">
        <v>143.4499969</v>
      </c>
      <c r="H433" s="5">
        <v>140.47000120000001</v>
      </c>
      <c r="I433" s="5">
        <v>140.8000031</v>
      </c>
      <c r="J433" s="5">
        <v>53384000</v>
      </c>
      <c r="K433" s="5">
        <v>140.29144289999999</v>
      </c>
    </row>
    <row r="434" spans="1:11" hidden="1">
      <c r="A434" s="4">
        <v>44460</v>
      </c>
      <c r="B434" s="5">
        <f t="shared" si="24"/>
        <v>21</v>
      </c>
      <c r="C434" s="5">
        <f t="shared" si="25"/>
        <v>9</v>
      </c>
      <c r="D434" s="5">
        <f t="shared" si="26"/>
        <v>2021</v>
      </c>
      <c r="E434" s="5" t="str">
        <f t="shared" si="27"/>
        <v>Q3</v>
      </c>
      <c r="F434" s="5">
        <v>138.16149899999999</v>
      </c>
      <c r="G434" s="5">
        <v>139</v>
      </c>
      <c r="H434" s="5">
        <v>136.3220062</v>
      </c>
      <c r="I434" s="5">
        <v>138.71949770000001</v>
      </c>
      <c r="J434" s="5">
        <v>46518000</v>
      </c>
      <c r="K434" s="5">
        <v>138.21844479999999</v>
      </c>
    </row>
    <row r="435" spans="1:11" hidden="1">
      <c r="A435" s="4">
        <v>44461</v>
      </c>
      <c r="B435" s="5">
        <f t="shared" si="24"/>
        <v>22</v>
      </c>
      <c r="C435" s="5">
        <f t="shared" si="25"/>
        <v>9</v>
      </c>
      <c r="D435" s="5">
        <f t="shared" si="26"/>
        <v>2021</v>
      </c>
      <c r="E435" s="5" t="str">
        <f t="shared" si="27"/>
        <v>Q3</v>
      </c>
      <c r="F435" s="5">
        <v>139.74949649999999</v>
      </c>
      <c r="G435" s="5">
        <v>140.01150509999999</v>
      </c>
      <c r="H435" s="5">
        <v>138.2779999</v>
      </c>
      <c r="I435" s="5">
        <v>139.03300479999999</v>
      </c>
      <c r="J435" s="5">
        <v>25332000</v>
      </c>
      <c r="K435" s="5">
        <v>138.53080750000001</v>
      </c>
    </row>
    <row r="436" spans="1:11" hidden="1">
      <c r="A436" s="4">
        <v>44462</v>
      </c>
      <c r="B436" s="5">
        <f t="shared" si="24"/>
        <v>23</v>
      </c>
      <c r="C436" s="5">
        <f t="shared" si="25"/>
        <v>9</v>
      </c>
      <c r="D436" s="5">
        <f t="shared" si="26"/>
        <v>2021</v>
      </c>
      <c r="E436" s="5" t="str">
        <f t="shared" si="27"/>
        <v>Q3</v>
      </c>
      <c r="F436" s="5">
        <v>139.30400090000001</v>
      </c>
      <c r="G436" s="5">
        <v>140.88699339999999</v>
      </c>
      <c r="H436" s="5">
        <v>138.55149840000001</v>
      </c>
      <c r="I436" s="5">
        <v>140.28349299999999</v>
      </c>
      <c r="J436" s="5">
        <v>25056000</v>
      </c>
      <c r="K436" s="5">
        <v>139.7767944</v>
      </c>
    </row>
    <row r="437" spans="1:11" hidden="1">
      <c r="A437" s="4">
        <v>44463</v>
      </c>
      <c r="B437" s="5">
        <f t="shared" si="24"/>
        <v>24</v>
      </c>
      <c r="C437" s="5">
        <f t="shared" si="25"/>
        <v>9</v>
      </c>
      <c r="D437" s="5">
        <f t="shared" si="26"/>
        <v>2021</v>
      </c>
      <c r="E437" s="5" t="str">
        <f t="shared" si="27"/>
        <v>Q3</v>
      </c>
      <c r="F437" s="5">
        <v>140.9875031</v>
      </c>
      <c r="G437" s="5">
        <v>141.6965027</v>
      </c>
      <c r="H437" s="5">
        <v>140.40150449999999</v>
      </c>
      <c r="I437" s="5">
        <v>141.21600340000001</v>
      </c>
      <c r="J437" s="5">
        <v>20952000</v>
      </c>
      <c r="K437" s="5">
        <v>140.70593260000001</v>
      </c>
    </row>
    <row r="438" spans="1:11" hidden="1">
      <c r="A438" s="4">
        <v>44466</v>
      </c>
      <c r="B438" s="5">
        <f t="shared" si="24"/>
        <v>27</v>
      </c>
      <c r="C438" s="5">
        <f t="shared" si="25"/>
        <v>9</v>
      </c>
      <c r="D438" s="5">
        <f t="shared" si="26"/>
        <v>2021</v>
      </c>
      <c r="E438" s="5" t="str">
        <f t="shared" si="27"/>
        <v>Q3</v>
      </c>
      <c r="F438" s="5">
        <v>140.53849790000001</v>
      </c>
      <c r="G438" s="5">
        <v>142.33050539999999</v>
      </c>
      <c r="H438" s="5">
        <v>140.2409973</v>
      </c>
      <c r="I438" s="5">
        <v>142.2149963</v>
      </c>
      <c r="J438" s="5">
        <v>22984000</v>
      </c>
      <c r="K438" s="5">
        <v>141.7013245</v>
      </c>
    </row>
    <row r="439" spans="1:11" hidden="1">
      <c r="A439" s="4">
        <v>44467</v>
      </c>
      <c r="B439" s="5">
        <f t="shared" si="24"/>
        <v>28</v>
      </c>
      <c r="C439" s="5">
        <f t="shared" si="25"/>
        <v>9</v>
      </c>
      <c r="D439" s="5">
        <f t="shared" si="26"/>
        <v>2021</v>
      </c>
      <c r="E439" s="5" t="str">
        <f t="shared" si="27"/>
        <v>Q3</v>
      </c>
      <c r="F439" s="5">
        <v>140.80450440000001</v>
      </c>
      <c r="G439" s="5">
        <v>141.93850710000001</v>
      </c>
      <c r="H439" s="5">
        <v>140.06750489999999</v>
      </c>
      <c r="I439" s="5">
        <v>141.0720062</v>
      </c>
      <c r="J439" s="5">
        <v>21882000</v>
      </c>
      <c r="K439" s="5">
        <v>140.56245419999999</v>
      </c>
    </row>
    <row r="440" spans="1:11" hidden="1">
      <c r="A440" s="4">
        <v>44468</v>
      </c>
      <c r="B440" s="5">
        <f t="shared" si="24"/>
        <v>29</v>
      </c>
      <c r="C440" s="5">
        <f t="shared" si="25"/>
        <v>9</v>
      </c>
      <c r="D440" s="5">
        <f t="shared" si="26"/>
        <v>2021</v>
      </c>
      <c r="E440" s="5" t="str">
        <f t="shared" si="27"/>
        <v>Q3</v>
      </c>
      <c r="F440" s="5">
        <v>138.65499879999999</v>
      </c>
      <c r="G440" s="5">
        <v>139.09649659999999</v>
      </c>
      <c r="H440" s="5">
        <v>135.36000060000001</v>
      </c>
      <c r="I440" s="5">
        <v>135.83000179999999</v>
      </c>
      <c r="J440" s="5">
        <v>45772000</v>
      </c>
      <c r="K440" s="5">
        <v>135.33938599999999</v>
      </c>
    </row>
    <row r="441" spans="1:11" hidden="1">
      <c r="A441" s="4">
        <v>44469</v>
      </c>
      <c r="B441" s="5">
        <f t="shared" si="24"/>
        <v>30</v>
      </c>
      <c r="C441" s="5">
        <f t="shared" si="25"/>
        <v>9</v>
      </c>
      <c r="D441" s="5">
        <f t="shared" si="26"/>
        <v>2021</v>
      </c>
      <c r="E441" s="5" t="str">
        <f t="shared" si="27"/>
        <v>Q3</v>
      </c>
      <c r="F441" s="5">
        <v>136.97999569999999</v>
      </c>
      <c r="G441" s="5">
        <v>137.15100100000001</v>
      </c>
      <c r="H441" s="5">
        <v>133.8650055</v>
      </c>
      <c r="I441" s="5">
        <v>134.3535004</v>
      </c>
      <c r="J441" s="5">
        <v>30848000</v>
      </c>
      <c r="K441" s="5">
        <v>133.86820979999999</v>
      </c>
    </row>
    <row r="442" spans="1:11" hidden="1">
      <c r="A442" s="4">
        <v>44470</v>
      </c>
      <c r="B442" s="5">
        <f t="shared" si="24"/>
        <v>1</v>
      </c>
      <c r="C442" s="5">
        <f t="shared" si="25"/>
        <v>10</v>
      </c>
      <c r="D442" s="5">
        <f t="shared" si="26"/>
        <v>2021</v>
      </c>
      <c r="E442" s="5" t="str">
        <f t="shared" si="27"/>
        <v>Q4</v>
      </c>
      <c r="F442" s="5">
        <v>134.26150509999999</v>
      </c>
      <c r="G442" s="5">
        <v>135.54249569999999</v>
      </c>
      <c r="H442" s="5">
        <v>133.5559998</v>
      </c>
      <c r="I442" s="5">
        <v>133.67599490000001</v>
      </c>
      <c r="J442" s="5">
        <v>37996000</v>
      </c>
      <c r="K442" s="5">
        <v>133.193161</v>
      </c>
    </row>
    <row r="443" spans="1:11" hidden="1">
      <c r="A443" s="4">
        <v>44473</v>
      </c>
      <c r="B443" s="5">
        <f t="shared" si="24"/>
        <v>4</v>
      </c>
      <c r="C443" s="5">
        <f t="shared" si="25"/>
        <v>10</v>
      </c>
      <c r="D443" s="5">
        <f t="shared" si="26"/>
        <v>2021</v>
      </c>
      <c r="E443" s="5" t="str">
        <f t="shared" si="27"/>
        <v>Q4</v>
      </c>
      <c r="F443" s="5">
        <v>134.4474945</v>
      </c>
      <c r="G443" s="5">
        <v>136.91050720000001</v>
      </c>
      <c r="H443" s="5">
        <v>134.07299800000001</v>
      </c>
      <c r="I443" s="5">
        <v>136.54299929999999</v>
      </c>
      <c r="J443" s="5">
        <v>35360000</v>
      </c>
      <c r="K443" s="5">
        <v>136.04980470000001</v>
      </c>
    </row>
    <row r="444" spans="1:11" hidden="1">
      <c r="A444" s="4">
        <v>44474</v>
      </c>
      <c r="B444" s="5">
        <f t="shared" si="24"/>
        <v>5</v>
      </c>
      <c r="C444" s="5">
        <f t="shared" si="25"/>
        <v>10</v>
      </c>
      <c r="D444" s="5">
        <f t="shared" si="26"/>
        <v>2021</v>
      </c>
      <c r="E444" s="5" t="str">
        <f t="shared" si="27"/>
        <v>Q4</v>
      </c>
      <c r="F444" s="5">
        <v>135.96049500000001</v>
      </c>
      <c r="G444" s="5">
        <v>135.96049500000001</v>
      </c>
      <c r="H444" s="5">
        <v>131.0500031</v>
      </c>
      <c r="I444" s="5">
        <v>133.6595001</v>
      </c>
      <c r="J444" s="5">
        <v>51202000</v>
      </c>
      <c r="K444" s="5">
        <v>133.17671200000001</v>
      </c>
    </row>
    <row r="445" spans="1:11" hidden="1">
      <c r="A445" s="4">
        <v>44475</v>
      </c>
      <c r="B445" s="5">
        <f t="shared" si="24"/>
        <v>6</v>
      </c>
      <c r="C445" s="5">
        <f t="shared" si="25"/>
        <v>10</v>
      </c>
      <c r="D445" s="5">
        <f t="shared" si="26"/>
        <v>2021</v>
      </c>
      <c r="E445" s="5" t="str">
        <f t="shared" si="27"/>
        <v>Q4</v>
      </c>
      <c r="F445" s="5">
        <v>134.0410004</v>
      </c>
      <c r="G445" s="5">
        <v>137.22450259999999</v>
      </c>
      <c r="H445" s="5">
        <v>134.0410004</v>
      </c>
      <c r="I445" s="5">
        <v>136.02299500000001</v>
      </c>
      <c r="J445" s="5">
        <v>32404000</v>
      </c>
      <c r="K445" s="5">
        <v>135.53167719999999</v>
      </c>
    </row>
    <row r="446" spans="1:11" hidden="1">
      <c r="A446" s="4">
        <v>44476</v>
      </c>
      <c r="B446" s="5">
        <f t="shared" si="24"/>
        <v>7</v>
      </c>
      <c r="C446" s="5">
        <f t="shared" si="25"/>
        <v>10</v>
      </c>
      <c r="D446" s="5">
        <f t="shared" si="26"/>
        <v>2021</v>
      </c>
      <c r="E446" s="5" t="str">
        <f t="shared" si="27"/>
        <v>Q4</v>
      </c>
      <c r="F446" s="5">
        <v>134.75</v>
      </c>
      <c r="G446" s="5">
        <v>137.75</v>
      </c>
      <c r="H446" s="5">
        <v>134.5500031</v>
      </c>
      <c r="I446" s="5">
        <v>137.5650024</v>
      </c>
      <c r="J446" s="5">
        <v>24364000</v>
      </c>
      <c r="K446" s="5">
        <v>137.06809999999999</v>
      </c>
    </row>
    <row r="447" spans="1:11" hidden="1">
      <c r="A447" s="4">
        <v>44477</v>
      </c>
      <c r="B447" s="5">
        <f t="shared" si="24"/>
        <v>8</v>
      </c>
      <c r="C447" s="5">
        <f t="shared" si="25"/>
        <v>10</v>
      </c>
      <c r="D447" s="5">
        <f t="shared" si="26"/>
        <v>2021</v>
      </c>
      <c r="E447" s="5" t="str">
        <f t="shared" si="27"/>
        <v>Q4</v>
      </c>
      <c r="F447" s="5">
        <v>138.89199830000001</v>
      </c>
      <c r="G447" s="5">
        <v>140.04200739999999</v>
      </c>
      <c r="H447" s="5">
        <v>138.65100100000001</v>
      </c>
      <c r="I447" s="5">
        <v>139.2250061</v>
      </c>
      <c r="J447" s="5">
        <v>25110000</v>
      </c>
      <c r="K447" s="5">
        <v>138.7221222</v>
      </c>
    </row>
    <row r="448" spans="1:11" hidden="1">
      <c r="A448" s="4">
        <v>44480</v>
      </c>
      <c r="B448" s="5">
        <f t="shared" si="24"/>
        <v>11</v>
      </c>
      <c r="C448" s="5">
        <f t="shared" si="25"/>
        <v>10</v>
      </c>
      <c r="D448" s="5">
        <f t="shared" si="26"/>
        <v>2021</v>
      </c>
      <c r="E448" s="5" t="str">
        <f t="shared" si="27"/>
        <v>Q4</v>
      </c>
      <c r="F448" s="5">
        <v>139.57699579999999</v>
      </c>
      <c r="G448" s="5">
        <v>140.33099369999999</v>
      </c>
      <c r="H448" s="5">
        <v>139.21749879999999</v>
      </c>
      <c r="I448" s="5">
        <v>139.78550720000001</v>
      </c>
      <c r="J448" s="5">
        <v>26526000</v>
      </c>
      <c r="K448" s="5">
        <v>139.28060909999999</v>
      </c>
    </row>
    <row r="449" spans="1:11" hidden="1">
      <c r="A449" s="4">
        <v>44481</v>
      </c>
      <c r="B449" s="5">
        <f t="shared" si="24"/>
        <v>12</v>
      </c>
      <c r="C449" s="5">
        <f t="shared" si="25"/>
        <v>10</v>
      </c>
      <c r="D449" s="5">
        <f t="shared" si="26"/>
        <v>2021</v>
      </c>
      <c r="E449" s="5" t="str">
        <f t="shared" si="27"/>
        <v>Q4</v>
      </c>
      <c r="F449" s="5">
        <v>139.29200739999999</v>
      </c>
      <c r="G449" s="5">
        <v>140.7120056</v>
      </c>
      <c r="H449" s="5">
        <v>138.8589935</v>
      </c>
      <c r="I449" s="5">
        <v>138.91400150000001</v>
      </c>
      <c r="J449" s="5">
        <v>17954000</v>
      </c>
      <c r="K449" s="5">
        <v>138.4122314</v>
      </c>
    </row>
    <row r="450" spans="1:11" hidden="1">
      <c r="A450" s="4">
        <v>44482</v>
      </c>
      <c r="B450" s="5">
        <f t="shared" ref="B450:B513" si="28">DAY(A450)</f>
        <v>13</v>
      </c>
      <c r="C450" s="5">
        <f t="shared" ref="C450:C513" si="29">MONTH(A450)</f>
        <v>10</v>
      </c>
      <c r="D450" s="5">
        <f t="shared" ref="D450:D513" si="30">YEAR(A450)</f>
        <v>2021</v>
      </c>
      <c r="E450" s="5" t="str">
        <f t="shared" ref="E450:E513" si="31">"Q"&amp;ROUNDUP(MONTH(A450)/3,0)</f>
        <v>Q4</v>
      </c>
      <c r="F450" s="5">
        <v>139.47999569999999</v>
      </c>
      <c r="G450" s="5">
        <v>139.50700380000001</v>
      </c>
      <c r="H450" s="5">
        <v>135.7599945</v>
      </c>
      <c r="I450" s="5">
        <v>136.44900509999999</v>
      </c>
      <c r="J450" s="5">
        <v>36332000</v>
      </c>
      <c r="K450" s="5">
        <v>135.95614620000001</v>
      </c>
    </row>
    <row r="451" spans="1:11" hidden="1">
      <c r="A451" s="4">
        <v>44483</v>
      </c>
      <c r="B451" s="5">
        <f t="shared" si="28"/>
        <v>14</v>
      </c>
      <c r="C451" s="5">
        <f t="shared" si="29"/>
        <v>10</v>
      </c>
      <c r="D451" s="5">
        <f t="shared" si="30"/>
        <v>2021</v>
      </c>
      <c r="E451" s="5" t="str">
        <f t="shared" si="31"/>
        <v>Q4</v>
      </c>
      <c r="F451" s="5">
        <v>137.4024963</v>
      </c>
      <c r="G451" s="5">
        <v>138</v>
      </c>
      <c r="H451" s="5">
        <v>136.5189972</v>
      </c>
      <c r="I451" s="5">
        <v>137.58200070000001</v>
      </c>
      <c r="J451" s="5">
        <v>19654000</v>
      </c>
      <c r="K451" s="5">
        <v>137.08505249999999</v>
      </c>
    </row>
    <row r="452" spans="1:11" hidden="1">
      <c r="A452" s="4">
        <v>44484</v>
      </c>
      <c r="B452" s="5">
        <f t="shared" si="28"/>
        <v>15</v>
      </c>
      <c r="C452" s="5">
        <f t="shared" si="29"/>
        <v>10</v>
      </c>
      <c r="D452" s="5">
        <f t="shared" si="30"/>
        <v>2021</v>
      </c>
      <c r="E452" s="5" t="str">
        <f t="shared" si="31"/>
        <v>Q4</v>
      </c>
      <c r="F452" s="5">
        <v>139.47399899999999</v>
      </c>
      <c r="G452" s="5">
        <v>141.3374939</v>
      </c>
      <c r="H452" s="5">
        <v>138.8249969</v>
      </c>
      <c r="I452" s="5">
        <v>141.15100100000001</v>
      </c>
      <c r="J452" s="5">
        <v>31894000</v>
      </c>
      <c r="K452" s="5">
        <v>140.64115910000001</v>
      </c>
    </row>
    <row r="453" spans="1:11" hidden="1">
      <c r="A453" s="4">
        <v>44487</v>
      </c>
      <c r="B453" s="5">
        <f t="shared" si="28"/>
        <v>18</v>
      </c>
      <c r="C453" s="5">
        <f t="shared" si="29"/>
        <v>10</v>
      </c>
      <c r="D453" s="5">
        <f t="shared" si="30"/>
        <v>2021</v>
      </c>
      <c r="E453" s="5" t="str">
        <f t="shared" si="31"/>
        <v>Q4</v>
      </c>
      <c r="F453" s="5">
        <v>141.61450199999999</v>
      </c>
      <c r="G453" s="5">
        <v>141.71800229999999</v>
      </c>
      <c r="H453" s="5">
        <v>140.75500489999999</v>
      </c>
      <c r="I453" s="5">
        <v>141.36799619999999</v>
      </c>
      <c r="J453" s="5">
        <v>30274000</v>
      </c>
      <c r="K453" s="5">
        <v>140.85737610000001</v>
      </c>
    </row>
    <row r="454" spans="1:11" hidden="1">
      <c r="A454" s="4">
        <v>44488</v>
      </c>
      <c r="B454" s="5">
        <f t="shared" si="28"/>
        <v>19</v>
      </c>
      <c r="C454" s="5">
        <f t="shared" si="29"/>
        <v>10</v>
      </c>
      <c r="D454" s="5">
        <f t="shared" si="30"/>
        <v>2021</v>
      </c>
      <c r="E454" s="5" t="str">
        <f t="shared" si="31"/>
        <v>Q4</v>
      </c>
      <c r="F454" s="5">
        <v>141.07650760000001</v>
      </c>
      <c r="G454" s="5">
        <v>142.7960052</v>
      </c>
      <c r="H454" s="5">
        <v>141.06950380000001</v>
      </c>
      <c r="I454" s="5">
        <v>142.7779999</v>
      </c>
      <c r="J454" s="5">
        <v>20396000</v>
      </c>
      <c r="K454" s="5">
        <v>142.26228330000001</v>
      </c>
    </row>
    <row r="455" spans="1:11" hidden="1">
      <c r="A455" s="4">
        <v>44489</v>
      </c>
      <c r="B455" s="5">
        <f t="shared" si="28"/>
        <v>20</v>
      </c>
      <c r="C455" s="5">
        <f t="shared" si="29"/>
        <v>10</v>
      </c>
      <c r="D455" s="5">
        <f t="shared" si="30"/>
        <v>2021</v>
      </c>
      <c r="E455" s="5" t="str">
        <f t="shared" si="31"/>
        <v>Q4</v>
      </c>
      <c r="F455" s="5">
        <v>143.3874969</v>
      </c>
      <c r="G455" s="5">
        <v>143.6625061</v>
      </c>
      <c r="H455" s="5">
        <v>142.6000061</v>
      </c>
      <c r="I455" s="5">
        <v>143.2369995</v>
      </c>
      <c r="J455" s="5">
        <v>20164000</v>
      </c>
      <c r="K455" s="5">
        <v>142.7196198</v>
      </c>
    </row>
    <row r="456" spans="1:11" hidden="1">
      <c r="A456" s="4">
        <v>44490</v>
      </c>
      <c r="B456" s="5">
        <f t="shared" si="28"/>
        <v>21</v>
      </c>
      <c r="C456" s="5">
        <f t="shared" si="29"/>
        <v>10</v>
      </c>
      <c r="D456" s="5">
        <f t="shared" si="30"/>
        <v>2021</v>
      </c>
      <c r="E456" s="5" t="str">
        <f t="shared" si="31"/>
        <v>Q4</v>
      </c>
      <c r="F456" s="5">
        <v>143.33799740000001</v>
      </c>
      <c r="G456" s="5">
        <v>143.5460052</v>
      </c>
      <c r="H456" s="5">
        <v>141.37649540000001</v>
      </c>
      <c r="I456" s="5">
        <v>141.7689972</v>
      </c>
      <c r="J456" s="5">
        <v>23288000</v>
      </c>
      <c r="K456" s="5">
        <v>141.25692749999999</v>
      </c>
    </row>
    <row r="457" spans="1:11" hidden="1">
      <c r="A457" s="4">
        <v>44491</v>
      </c>
      <c r="B457" s="5">
        <f t="shared" si="28"/>
        <v>22</v>
      </c>
      <c r="C457" s="5">
        <f t="shared" si="29"/>
        <v>10</v>
      </c>
      <c r="D457" s="5">
        <f t="shared" si="30"/>
        <v>2021</v>
      </c>
      <c r="E457" s="5" t="str">
        <f t="shared" si="31"/>
        <v>Q4</v>
      </c>
      <c r="F457" s="5">
        <v>141.7689972</v>
      </c>
      <c r="G457" s="5">
        <v>142.1560059</v>
      </c>
      <c r="H457" s="5">
        <v>140.5</v>
      </c>
      <c r="I457" s="5">
        <v>141.88600159999999</v>
      </c>
      <c r="J457" s="5">
        <v>26292000</v>
      </c>
      <c r="K457" s="5">
        <v>141.37351989999999</v>
      </c>
    </row>
    <row r="458" spans="1:11" hidden="1">
      <c r="A458" s="4">
        <v>44494</v>
      </c>
      <c r="B458" s="5">
        <f t="shared" si="28"/>
        <v>25</v>
      </c>
      <c r="C458" s="5">
        <f t="shared" si="29"/>
        <v>10</v>
      </c>
      <c r="D458" s="5">
        <f t="shared" si="30"/>
        <v>2021</v>
      </c>
      <c r="E458" s="5" t="str">
        <f t="shared" si="31"/>
        <v>Q4</v>
      </c>
      <c r="F458" s="5">
        <v>139.1499939</v>
      </c>
      <c r="G458" s="5">
        <v>140.58299260000001</v>
      </c>
      <c r="H458" s="5">
        <v>136.0559998</v>
      </c>
      <c r="I458" s="5">
        <v>137.56649780000001</v>
      </c>
      <c r="J458" s="5">
        <v>50588000</v>
      </c>
      <c r="K458" s="5">
        <v>137.0695953</v>
      </c>
    </row>
    <row r="459" spans="1:11" hidden="1">
      <c r="A459" s="4">
        <v>44495</v>
      </c>
      <c r="B459" s="5">
        <f t="shared" si="28"/>
        <v>26</v>
      </c>
      <c r="C459" s="5">
        <f t="shared" si="29"/>
        <v>10</v>
      </c>
      <c r="D459" s="5">
        <f t="shared" si="30"/>
        <v>2021</v>
      </c>
      <c r="E459" s="5" t="str">
        <f t="shared" si="31"/>
        <v>Q4</v>
      </c>
      <c r="F459" s="5">
        <v>137.5500031</v>
      </c>
      <c r="G459" s="5">
        <v>138</v>
      </c>
      <c r="H459" s="5">
        <v>135.42399599999999</v>
      </c>
      <c r="I459" s="5">
        <v>137.4470062</v>
      </c>
      <c r="J459" s="5">
        <v>34412000</v>
      </c>
      <c r="K459" s="5">
        <v>136.95054630000001</v>
      </c>
    </row>
    <row r="460" spans="1:11" hidden="1">
      <c r="A460" s="4">
        <v>44496</v>
      </c>
      <c r="B460" s="5">
        <f t="shared" si="28"/>
        <v>27</v>
      </c>
      <c r="C460" s="5">
        <f t="shared" si="29"/>
        <v>10</v>
      </c>
      <c r="D460" s="5">
        <f t="shared" si="30"/>
        <v>2021</v>
      </c>
      <c r="E460" s="5" t="str">
        <f t="shared" si="31"/>
        <v>Q4</v>
      </c>
      <c r="F460" s="5">
        <v>139.26350400000001</v>
      </c>
      <c r="G460" s="5">
        <v>140.08299260000001</v>
      </c>
      <c r="H460" s="5">
        <v>138.30450440000001</v>
      </c>
      <c r="I460" s="5">
        <v>139.30850219999999</v>
      </c>
      <c r="J460" s="5">
        <v>49236000</v>
      </c>
      <c r="K460" s="5">
        <v>138.80532840000001</v>
      </c>
    </row>
    <row r="461" spans="1:11" hidden="1">
      <c r="A461" s="4">
        <v>44497</v>
      </c>
      <c r="B461" s="5">
        <f t="shared" si="28"/>
        <v>28</v>
      </c>
      <c r="C461" s="5">
        <f t="shared" si="29"/>
        <v>10</v>
      </c>
      <c r="D461" s="5">
        <f t="shared" si="30"/>
        <v>2021</v>
      </c>
      <c r="E461" s="5" t="str">
        <f t="shared" si="31"/>
        <v>Q4</v>
      </c>
      <c r="F461" s="5">
        <v>139.40499879999999</v>
      </c>
      <c r="G461" s="5">
        <v>148.6499939</v>
      </c>
      <c r="H461" s="5">
        <v>139.40499879999999</v>
      </c>
      <c r="I461" s="5">
        <v>146.21749879999999</v>
      </c>
      <c r="J461" s="5">
        <v>85782000</v>
      </c>
      <c r="K461" s="5">
        <v>145.68936160000001</v>
      </c>
    </row>
    <row r="462" spans="1:11" hidden="1">
      <c r="A462" s="4">
        <v>44498</v>
      </c>
      <c r="B462" s="5">
        <f t="shared" si="28"/>
        <v>29</v>
      </c>
      <c r="C462" s="5">
        <f t="shared" si="29"/>
        <v>10</v>
      </c>
      <c r="D462" s="5">
        <f t="shared" si="30"/>
        <v>2021</v>
      </c>
      <c r="E462" s="5" t="str">
        <f t="shared" si="31"/>
        <v>Q4</v>
      </c>
      <c r="F462" s="5">
        <v>147.1345062</v>
      </c>
      <c r="G462" s="5">
        <v>147.15800479999999</v>
      </c>
      <c r="H462" s="5">
        <v>144.62699889999999</v>
      </c>
      <c r="I462" s="5">
        <v>145.84899899999999</v>
      </c>
      <c r="J462" s="5">
        <v>36206000</v>
      </c>
      <c r="K462" s="5">
        <v>145.32220459999999</v>
      </c>
    </row>
    <row r="463" spans="1:11" hidden="1">
      <c r="A463" s="4">
        <v>44501</v>
      </c>
      <c r="B463" s="5">
        <f t="shared" si="28"/>
        <v>1</v>
      </c>
      <c r="C463" s="5">
        <f t="shared" si="29"/>
        <v>11</v>
      </c>
      <c r="D463" s="5">
        <f t="shared" si="30"/>
        <v>2021</v>
      </c>
      <c r="E463" s="5" t="str">
        <f t="shared" si="31"/>
        <v>Q4</v>
      </c>
      <c r="F463" s="5">
        <v>145.0780029</v>
      </c>
      <c r="G463" s="5">
        <v>148.24200440000001</v>
      </c>
      <c r="H463" s="5">
        <v>144.6495056</v>
      </c>
      <c r="I463" s="5">
        <v>148.0460052</v>
      </c>
      <c r="J463" s="5">
        <v>43320000</v>
      </c>
      <c r="K463" s="5">
        <v>147.51126099999999</v>
      </c>
    </row>
    <row r="464" spans="1:11" hidden="1">
      <c r="A464" s="4">
        <v>44502</v>
      </c>
      <c r="B464" s="5">
        <f t="shared" si="28"/>
        <v>2</v>
      </c>
      <c r="C464" s="5">
        <f t="shared" si="29"/>
        <v>11</v>
      </c>
      <c r="D464" s="5">
        <f t="shared" si="30"/>
        <v>2021</v>
      </c>
      <c r="E464" s="5" t="str">
        <f t="shared" si="31"/>
        <v>Q4</v>
      </c>
      <c r="F464" s="5">
        <v>148.0460052</v>
      </c>
      <c r="G464" s="5">
        <v>148.0460052</v>
      </c>
      <c r="H464" s="5">
        <v>143.2254944</v>
      </c>
      <c r="I464" s="5">
        <v>143.496994</v>
      </c>
      <c r="J464" s="5">
        <v>46924000</v>
      </c>
      <c r="K464" s="5">
        <v>142.97868349999999</v>
      </c>
    </row>
    <row r="465" spans="1:11" hidden="1">
      <c r="A465" s="4">
        <v>44503</v>
      </c>
      <c r="B465" s="5">
        <f t="shared" si="28"/>
        <v>3</v>
      </c>
      <c r="C465" s="5">
        <f t="shared" si="29"/>
        <v>11</v>
      </c>
      <c r="D465" s="5">
        <f t="shared" si="30"/>
        <v>2021</v>
      </c>
      <c r="E465" s="5" t="str">
        <f t="shared" si="31"/>
        <v>Q4</v>
      </c>
      <c r="F465" s="5">
        <v>144.57949830000001</v>
      </c>
      <c r="G465" s="5">
        <v>146.6089935</v>
      </c>
      <c r="H465" s="5">
        <v>144.33549500000001</v>
      </c>
      <c r="I465" s="5">
        <v>145.43249510000001</v>
      </c>
      <c r="J465" s="5">
        <v>33482000</v>
      </c>
      <c r="K465" s="5">
        <v>144.907196</v>
      </c>
    </row>
    <row r="466" spans="1:11" hidden="1">
      <c r="A466" s="4">
        <v>44504</v>
      </c>
      <c r="B466" s="5">
        <f t="shared" si="28"/>
        <v>4</v>
      </c>
      <c r="C466" s="5">
        <f t="shared" si="29"/>
        <v>11</v>
      </c>
      <c r="D466" s="5">
        <f t="shared" si="30"/>
        <v>2021</v>
      </c>
      <c r="E466" s="5" t="str">
        <f t="shared" si="31"/>
        <v>Q4</v>
      </c>
      <c r="F466" s="5">
        <v>145.90049740000001</v>
      </c>
      <c r="G466" s="5">
        <v>146.66900630000001</v>
      </c>
      <c r="H466" s="5">
        <v>144.59100340000001</v>
      </c>
      <c r="I466" s="5">
        <v>146.59800720000001</v>
      </c>
      <c r="J466" s="5">
        <v>27494000</v>
      </c>
      <c r="K466" s="5">
        <v>146.0684967</v>
      </c>
    </row>
    <row r="467" spans="1:11" hidden="1">
      <c r="A467" s="4">
        <v>44505</v>
      </c>
      <c r="B467" s="5">
        <f t="shared" si="28"/>
        <v>5</v>
      </c>
      <c r="C467" s="5">
        <f t="shared" si="29"/>
        <v>11</v>
      </c>
      <c r="D467" s="5">
        <f t="shared" si="30"/>
        <v>2021</v>
      </c>
      <c r="E467" s="5" t="str">
        <f t="shared" si="31"/>
        <v>Q4</v>
      </c>
      <c r="F467" s="5">
        <v>147.12449649999999</v>
      </c>
      <c r="G467" s="5">
        <v>149.7335052</v>
      </c>
      <c r="H467" s="5">
        <v>146.30799870000001</v>
      </c>
      <c r="I467" s="5">
        <v>148.26750179999999</v>
      </c>
      <c r="J467" s="5">
        <v>38412000</v>
      </c>
      <c r="K467" s="5">
        <v>147.73194889999999</v>
      </c>
    </row>
    <row r="468" spans="1:11" hidden="1">
      <c r="A468" s="4">
        <v>44508</v>
      </c>
      <c r="B468" s="5">
        <f t="shared" si="28"/>
        <v>8</v>
      </c>
      <c r="C468" s="5">
        <f t="shared" si="29"/>
        <v>11</v>
      </c>
      <c r="D468" s="5">
        <f t="shared" si="30"/>
        <v>2021</v>
      </c>
      <c r="E468" s="5" t="str">
        <f t="shared" si="31"/>
        <v>Q4</v>
      </c>
      <c r="F468" s="5">
        <v>149.16949460000001</v>
      </c>
      <c r="G468" s="5">
        <v>150.32749939999999</v>
      </c>
      <c r="H468" s="5">
        <v>148.1970062</v>
      </c>
      <c r="I468" s="5">
        <v>148.85200499999999</v>
      </c>
      <c r="J468" s="5">
        <v>38354000</v>
      </c>
      <c r="K468" s="5">
        <v>148.31436160000001</v>
      </c>
    </row>
    <row r="469" spans="1:11" hidden="1">
      <c r="A469" s="4">
        <v>44509</v>
      </c>
      <c r="B469" s="5">
        <f t="shared" si="28"/>
        <v>9</v>
      </c>
      <c r="C469" s="5">
        <f t="shared" si="29"/>
        <v>11</v>
      </c>
      <c r="D469" s="5">
        <f t="shared" si="30"/>
        <v>2021</v>
      </c>
      <c r="E469" s="5" t="str">
        <f t="shared" si="31"/>
        <v>Q4</v>
      </c>
      <c r="F469" s="5">
        <v>149.8249969</v>
      </c>
      <c r="G469" s="5">
        <v>150.6150055</v>
      </c>
      <c r="H469" s="5">
        <v>148.43049619999999</v>
      </c>
      <c r="I469" s="5">
        <v>149.0310059</v>
      </c>
      <c r="J469" s="5">
        <v>23052000</v>
      </c>
      <c r="K469" s="5">
        <v>148.49270630000001</v>
      </c>
    </row>
    <row r="470" spans="1:11" hidden="1">
      <c r="A470" s="4">
        <v>44510</v>
      </c>
      <c r="B470" s="5">
        <f t="shared" si="28"/>
        <v>10</v>
      </c>
      <c r="C470" s="5">
        <f t="shared" si="29"/>
        <v>11</v>
      </c>
      <c r="D470" s="5">
        <f t="shared" si="30"/>
        <v>2021</v>
      </c>
      <c r="E470" s="5" t="str">
        <f t="shared" si="31"/>
        <v>Q4</v>
      </c>
      <c r="F470" s="5">
        <v>149.23300169999999</v>
      </c>
      <c r="G470" s="5">
        <v>149.8345032</v>
      </c>
      <c r="H470" s="5">
        <v>147.24499510000001</v>
      </c>
      <c r="I470" s="5">
        <v>148.9185028</v>
      </c>
      <c r="J470" s="5">
        <v>19530000</v>
      </c>
      <c r="K470" s="5">
        <v>148.3806305</v>
      </c>
    </row>
    <row r="471" spans="1:11" hidden="1">
      <c r="A471" s="4">
        <v>44511</v>
      </c>
      <c r="B471" s="5">
        <f t="shared" si="28"/>
        <v>11</v>
      </c>
      <c r="C471" s="5">
        <f t="shared" si="29"/>
        <v>11</v>
      </c>
      <c r="D471" s="5">
        <f t="shared" si="30"/>
        <v>2021</v>
      </c>
      <c r="E471" s="5" t="str">
        <f t="shared" si="31"/>
        <v>Q4</v>
      </c>
      <c r="F471" s="5">
        <v>147.5</v>
      </c>
      <c r="G471" s="5">
        <v>148.07000729999999</v>
      </c>
      <c r="H471" s="5">
        <v>144.5375061</v>
      </c>
      <c r="I471" s="5">
        <v>145.89349369999999</v>
      </c>
      <c r="J471" s="5">
        <v>29970000</v>
      </c>
      <c r="K471" s="5">
        <v>145.36653140000001</v>
      </c>
    </row>
    <row r="472" spans="1:11" hidden="1">
      <c r="A472" s="4">
        <v>44512</v>
      </c>
      <c r="B472" s="5">
        <f t="shared" si="28"/>
        <v>12</v>
      </c>
      <c r="C472" s="5">
        <f t="shared" si="29"/>
        <v>11</v>
      </c>
      <c r="D472" s="5">
        <f t="shared" si="30"/>
        <v>2021</v>
      </c>
      <c r="E472" s="5" t="str">
        <f t="shared" si="31"/>
        <v>Q4</v>
      </c>
      <c r="F472" s="5">
        <v>146.48950199999999</v>
      </c>
      <c r="G472" s="5">
        <v>147.53550720000001</v>
      </c>
      <c r="H472" s="5">
        <v>145.6004944</v>
      </c>
      <c r="I472" s="5">
        <v>145.7664948</v>
      </c>
      <c r="J472" s="5">
        <v>16518000</v>
      </c>
      <c r="K472" s="5">
        <v>145.23999019999999</v>
      </c>
    </row>
    <row r="473" spans="1:11" hidden="1">
      <c r="A473" s="4">
        <v>44515</v>
      </c>
      <c r="B473" s="5">
        <f t="shared" si="28"/>
        <v>15</v>
      </c>
      <c r="C473" s="5">
        <f t="shared" si="29"/>
        <v>11</v>
      </c>
      <c r="D473" s="5">
        <f t="shared" si="30"/>
        <v>2021</v>
      </c>
      <c r="E473" s="5" t="str">
        <f t="shared" si="31"/>
        <v>Q4</v>
      </c>
      <c r="F473" s="5">
        <v>146.6154938</v>
      </c>
      <c r="G473" s="5">
        <v>148.8500061</v>
      </c>
      <c r="H473" s="5">
        <v>145.41099550000001</v>
      </c>
      <c r="I473" s="5">
        <v>148.6779938</v>
      </c>
      <c r="J473" s="5">
        <v>22360000</v>
      </c>
      <c r="K473" s="5">
        <v>148.14097599999999</v>
      </c>
    </row>
    <row r="474" spans="1:11" hidden="1">
      <c r="A474" s="4">
        <v>44516</v>
      </c>
      <c r="B474" s="5">
        <f t="shared" si="28"/>
        <v>16</v>
      </c>
      <c r="C474" s="5">
        <f t="shared" si="29"/>
        <v>11</v>
      </c>
      <c r="D474" s="5">
        <f t="shared" si="30"/>
        <v>2021</v>
      </c>
      <c r="E474" s="5" t="str">
        <f t="shared" si="31"/>
        <v>Q4</v>
      </c>
      <c r="F474" s="5">
        <v>148.90049740000001</v>
      </c>
      <c r="G474" s="5">
        <v>149.5494995</v>
      </c>
      <c r="H474" s="5">
        <v>147.5749969</v>
      </c>
      <c r="I474" s="5">
        <v>148.45199579999999</v>
      </c>
      <c r="J474" s="5">
        <v>23508000</v>
      </c>
      <c r="K474" s="5">
        <v>147.91578670000001</v>
      </c>
    </row>
    <row r="475" spans="1:11" hidden="1">
      <c r="A475" s="4">
        <v>44517</v>
      </c>
      <c r="B475" s="5">
        <f t="shared" si="28"/>
        <v>17</v>
      </c>
      <c r="C475" s="5">
        <f t="shared" si="29"/>
        <v>11</v>
      </c>
      <c r="D475" s="5">
        <f t="shared" si="30"/>
        <v>2021</v>
      </c>
      <c r="E475" s="5" t="str">
        <f t="shared" si="31"/>
        <v>Q4</v>
      </c>
      <c r="F475" s="5">
        <v>148.1495056</v>
      </c>
      <c r="G475" s="5">
        <v>148.7624969</v>
      </c>
      <c r="H475" s="5">
        <v>147.3125</v>
      </c>
      <c r="I475" s="5">
        <v>147.87600710000001</v>
      </c>
      <c r="J475" s="5">
        <v>18904000</v>
      </c>
      <c r="K475" s="5">
        <v>147.34188839999999</v>
      </c>
    </row>
    <row r="476" spans="1:11" hidden="1">
      <c r="A476" s="4">
        <v>44518</v>
      </c>
      <c r="B476" s="5">
        <f t="shared" si="28"/>
        <v>18</v>
      </c>
      <c r="C476" s="5">
        <f t="shared" si="29"/>
        <v>11</v>
      </c>
      <c r="D476" s="5">
        <f t="shared" si="30"/>
        <v>2021</v>
      </c>
      <c r="E476" s="5" t="str">
        <f t="shared" si="31"/>
        <v>Q4</v>
      </c>
      <c r="F476" s="5">
        <v>148.0274963</v>
      </c>
      <c r="G476" s="5">
        <v>148.559494</v>
      </c>
      <c r="H476" s="5">
        <v>147.2400055</v>
      </c>
      <c r="I476" s="5">
        <v>148.0469971</v>
      </c>
      <c r="J476" s="5">
        <v>19594000</v>
      </c>
      <c r="K476" s="5">
        <v>147.5122528</v>
      </c>
    </row>
    <row r="477" spans="1:11" hidden="1">
      <c r="A477" s="4">
        <v>44519</v>
      </c>
      <c r="B477" s="5">
        <f t="shared" si="28"/>
        <v>19</v>
      </c>
      <c r="C477" s="5">
        <f t="shared" si="29"/>
        <v>11</v>
      </c>
      <c r="D477" s="5">
        <f t="shared" si="30"/>
        <v>2021</v>
      </c>
      <c r="E477" s="5" t="str">
        <f t="shared" si="31"/>
        <v>Q4</v>
      </c>
      <c r="F477" s="5">
        <v>148.24150090000001</v>
      </c>
      <c r="G477" s="5">
        <v>150.58050539999999</v>
      </c>
      <c r="H477" s="5">
        <v>147.8845062</v>
      </c>
      <c r="I477" s="5">
        <v>149.83850100000001</v>
      </c>
      <c r="J477" s="5">
        <v>35608000</v>
      </c>
      <c r="K477" s="5">
        <v>149.29730219999999</v>
      </c>
    </row>
    <row r="478" spans="1:11" hidden="1">
      <c r="A478" s="4">
        <v>44522</v>
      </c>
      <c r="B478" s="5">
        <f t="shared" si="28"/>
        <v>22</v>
      </c>
      <c r="C478" s="5">
        <f t="shared" si="29"/>
        <v>11</v>
      </c>
      <c r="D478" s="5">
        <f t="shared" si="30"/>
        <v>2021</v>
      </c>
      <c r="E478" s="5" t="str">
        <f t="shared" si="31"/>
        <v>Q4</v>
      </c>
      <c r="F478" s="5">
        <v>149.9754944</v>
      </c>
      <c r="G478" s="5">
        <v>150.96650700000001</v>
      </c>
      <c r="H478" s="5">
        <v>148.89900209999999</v>
      </c>
      <c r="I478" s="5">
        <v>148.92649840000001</v>
      </c>
      <c r="J478" s="5">
        <v>33682000</v>
      </c>
      <c r="K478" s="5">
        <v>148.3885803</v>
      </c>
    </row>
    <row r="479" spans="1:11" hidden="1">
      <c r="A479" s="4">
        <v>44523</v>
      </c>
      <c r="B479" s="5">
        <f t="shared" si="28"/>
        <v>23</v>
      </c>
      <c r="C479" s="5">
        <f t="shared" si="29"/>
        <v>11</v>
      </c>
      <c r="D479" s="5">
        <f t="shared" si="30"/>
        <v>2021</v>
      </c>
      <c r="E479" s="5" t="str">
        <f t="shared" si="31"/>
        <v>Q4</v>
      </c>
      <c r="F479" s="5">
        <v>149.33250430000001</v>
      </c>
      <c r="G479" s="5">
        <v>149.82949830000001</v>
      </c>
      <c r="H479" s="5">
        <v>146.14750670000001</v>
      </c>
      <c r="I479" s="5">
        <v>146.30200199999999</v>
      </c>
      <c r="J479" s="5">
        <v>30594000</v>
      </c>
      <c r="K479" s="5">
        <v>145.77357480000001</v>
      </c>
    </row>
    <row r="480" spans="1:11" hidden="1">
      <c r="A480" s="4">
        <v>44524</v>
      </c>
      <c r="B480" s="5">
        <f t="shared" si="28"/>
        <v>24</v>
      </c>
      <c r="C480" s="5">
        <f t="shared" si="29"/>
        <v>11</v>
      </c>
      <c r="D480" s="5">
        <f t="shared" si="30"/>
        <v>2021</v>
      </c>
      <c r="E480" s="5" t="str">
        <f t="shared" si="31"/>
        <v>Q4</v>
      </c>
      <c r="F480" s="5">
        <v>146.1529999</v>
      </c>
      <c r="G480" s="5">
        <v>146.6600037</v>
      </c>
      <c r="H480" s="5">
        <v>144.1150055</v>
      </c>
      <c r="I480" s="5">
        <v>145.78199770000001</v>
      </c>
      <c r="J480" s="5">
        <v>27218000</v>
      </c>
      <c r="K480" s="5">
        <v>145.25544740000001</v>
      </c>
    </row>
    <row r="481" spans="1:11" hidden="1">
      <c r="A481" s="4">
        <v>44526</v>
      </c>
      <c r="B481" s="5">
        <f t="shared" si="28"/>
        <v>26</v>
      </c>
      <c r="C481" s="5">
        <f t="shared" si="29"/>
        <v>11</v>
      </c>
      <c r="D481" s="5">
        <f t="shared" si="30"/>
        <v>2021</v>
      </c>
      <c r="E481" s="5" t="str">
        <f t="shared" si="31"/>
        <v>Q4</v>
      </c>
      <c r="F481" s="5">
        <v>145.47349550000001</v>
      </c>
      <c r="G481" s="5">
        <v>146.24949649999999</v>
      </c>
      <c r="H481" s="5">
        <v>144.37300110000001</v>
      </c>
      <c r="I481" s="5">
        <v>146.11999510000001</v>
      </c>
      <c r="J481" s="5">
        <v>18040000</v>
      </c>
      <c r="K481" s="5">
        <v>145.5922089</v>
      </c>
    </row>
    <row r="482" spans="1:11" hidden="1">
      <c r="A482" s="4">
        <v>44529</v>
      </c>
      <c r="B482" s="5">
        <f t="shared" si="28"/>
        <v>29</v>
      </c>
      <c r="C482" s="5">
        <f t="shared" si="29"/>
        <v>11</v>
      </c>
      <c r="D482" s="5">
        <f t="shared" si="30"/>
        <v>2021</v>
      </c>
      <c r="E482" s="5" t="str">
        <f t="shared" si="31"/>
        <v>Q4</v>
      </c>
      <c r="F482" s="5">
        <v>144.34849550000001</v>
      </c>
      <c r="G482" s="5">
        <v>144.55749510000001</v>
      </c>
      <c r="H482" s="5">
        <v>141.84249879999999</v>
      </c>
      <c r="I482" s="5">
        <v>142.18299870000001</v>
      </c>
      <c r="J482" s="5">
        <v>30470000</v>
      </c>
      <c r="K482" s="5">
        <v>141.66943359999999</v>
      </c>
    </row>
    <row r="483" spans="1:11" hidden="1">
      <c r="A483" s="4">
        <v>44530</v>
      </c>
      <c r="B483" s="5">
        <f t="shared" si="28"/>
        <v>30</v>
      </c>
      <c r="C483" s="5">
        <f t="shared" si="29"/>
        <v>11</v>
      </c>
      <c r="D483" s="5">
        <f t="shared" si="30"/>
        <v>2021</v>
      </c>
      <c r="E483" s="5" t="str">
        <f t="shared" si="31"/>
        <v>Q4</v>
      </c>
      <c r="F483" s="5">
        <v>144</v>
      </c>
      <c r="G483" s="5">
        <v>146.29750060000001</v>
      </c>
      <c r="H483" s="5">
        <v>143.89349369999999</v>
      </c>
      <c r="I483" s="5">
        <v>145.53050229999999</v>
      </c>
      <c r="J483" s="5">
        <v>32596000</v>
      </c>
      <c r="K483" s="5">
        <v>145.00483700000001</v>
      </c>
    </row>
    <row r="484" spans="1:11" hidden="1">
      <c r="A484" s="4">
        <v>44531</v>
      </c>
      <c r="B484" s="5">
        <f t="shared" si="28"/>
        <v>1</v>
      </c>
      <c r="C484" s="5">
        <f t="shared" si="29"/>
        <v>12</v>
      </c>
      <c r="D484" s="5">
        <f t="shared" si="30"/>
        <v>2021</v>
      </c>
      <c r="E484" s="5" t="str">
        <f t="shared" si="31"/>
        <v>Q4</v>
      </c>
      <c r="F484" s="5">
        <v>145.00849909999999</v>
      </c>
      <c r="G484" s="5">
        <v>146</v>
      </c>
      <c r="H484" s="5">
        <v>141.60150150000001</v>
      </c>
      <c r="I484" s="5">
        <v>141.89750670000001</v>
      </c>
      <c r="J484" s="5">
        <v>42068000</v>
      </c>
      <c r="K484" s="5">
        <v>141.3849792</v>
      </c>
    </row>
    <row r="485" spans="1:11" hidden="1">
      <c r="A485" s="4">
        <v>44532</v>
      </c>
      <c r="B485" s="5">
        <f t="shared" si="28"/>
        <v>2</v>
      </c>
      <c r="C485" s="5">
        <f t="shared" si="29"/>
        <v>12</v>
      </c>
      <c r="D485" s="5">
        <f t="shared" si="30"/>
        <v>2021</v>
      </c>
      <c r="E485" s="5" t="str">
        <f t="shared" si="31"/>
        <v>Q4</v>
      </c>
      <c r="F485" s="5">
        <v>144</v>
      </c>
      <c r="G485" s="5">
        <v>145.9505005</v>
      </c>
      <c r="H485" s="5">
        <v>140.91200259999999</v>
      </c>
      <c r="I485" s="5">
        <v>141.05149840000001</v>
      </c>
      <c r="J485" s="5">
        <v>34020000</v>
      </c>
      <c r="K485" s="5">
        <v>140.54202269999999</v>
      </c>
    </row>
    <row r="486" spans="1:11" hidden="1">
      <c r="A486" s="4">
        <v>44533</v>
      </c>
      <c r="B486" s="5">
        <f t="shared" si="28"/>
        <v>3</v>
      </c>
      <c r="C486" s="5">
        <f t="shared" si="29"/>
        <v>12</v>
      </c>
      <c r="D486" s="5">
        <f t="shared" si="30"/>
        <v>2021</v>
      </c>
      <c r="E486" s="5" t="str">
        <f t="shared" si="31"/>
        <v>Q4</v>
      </c>
      <c r="F486" s="5">
        <v>141.25</v>
      </c>
      <c r="G486" s="5">
        <v>143.86450199999999</v>
      </c>
      <c r="H486" s="5">
        <v>140.21449279999999</v>
      </c>
      <c r="I486" s="5">
        <v>142.96600340000001</v>
      </c>
      <c r="J486" s="5">
        <v>29194000</v>
      </c>
      <c r="K486" s="5">
        <v>142.44961549999999</v>
      </c>
    </row>
    <row r="487" spans="1:11" hidden="1">
      <c r="A487" s="4">
        <v>44536</v>
      </c>
      <c r="B487" s="5">
        <f t="shared" si="28"/>
        <v>6</v>
      </c>
      <c r="C487" s="5">
        <f t="shared" si="29"/>
        <v>12</v>
      </c>
      <c r="D487" s="5">
        <f t="shared" si="30"/>
        <v>2021</v>
      </c>
      <c r="E487" s="5" t="str">
        <f t="shared" si="31"/>
        <v>Q4</v>
      </c>
      <c r="F487" s="5">
        <v>143.6809998</v>
      </c>
      <c r="G487" s="5">
        <v>144.3999939</v>
      </c>
      <c r="H487" s="5">
        <v>140.30099490000001</v>
      </c>
      <c r="I487" s="5">
        <v>142.00149540000001</v>
      </c>
      <c r="J487" s="5">
        <v>41230000</v>
      </c>
      <c r="K487" s="5">
        <v>141.4886017</v>
      </c>
    </row>
    <row r="488" spans="1:11" hidden="1">
      <c r="A488" s="4">
        <v>44537</v>
      </c>
      <c r="B488" s="5">
        <f t="shared" si="28"/>
        <v>7</v>
      </c>
      <c r="C488" s="5">
        <f t="shared" si="29"/>
        <v>12</v>
      </c>
      <c r="D488" s="5">
        <f t="shared" si="30"/>
        <v>2021</v>
      </c>
      <c r="E488" s="5" t="str">
        <f t="shared" si="31"/>
        <v>Q4</v>
      </c>
      <c r="F488" s="5">
        <v>143.0404968</v>
      </c>
      <c r="G488" s="5">
        <v>143.85249329999999</v>
      </c>
      <c r="H488" s="5">
        <v>140.1499939</v>
      </c>
      <c r="I488" s="5">
        <v>143.15499879999999</v>
      </c>
      <c r="J488" s="5">
        <v>30618000</v>
      </c>
      <c r="K488" s="5">
        <v>142.63792419999999</v>
      </c>
    </row>
    <row r="489" spans="1:11" hidden="1">
      <c r="A489" s="4">
        <v>44538</v>
      </c>
      <c r="B489" s="5">
        <f t="shared" si="28"/>
        <v>8</v>
      </c>
      <c r="C489" s="5">
        <f t="shared" si="29"/>
        <v>12</v>
      </c>
      <c r="D489" s="5">
        <f t="shared" si="30"/>
        <v>2021</v>
      </c>
      <c r="E489" s="5" t="str">
        <f t="shared" si="31"/>
        <v>Q4</v>
      </c>
      <c r="F489" s="5">
        <v>145.59649659999999</v>
      </c>
      <c r="G489" s="5">
        <v>147.5310059</v>
      </c>
      <c r="H489" s="5">
        <v>145.22749329999999</v>
      </c>
      <c r="I489" s="5">
        <v>147.26950070000001</v>
      </c>
      <c r="J489" s="5">
        <v>32240000</v>
      </c>
      <c r="K489" s="5">
        <v>146.73756409999999</v>
      </c>
    </row>
    <row r="490" spans="1:11" hidden="1">
      <c r="A490" s="4">
        <v>44539</v>
      </c>
      <c r="B490" s="5">
        <f t="shared" si="28"/>
        <v>9</v>
      </c>
      <c r="C490" s="5">
        <f t="shared" si="29"/>
        <v>12</v>
      </c>
      <c r="D490" s="5">
        <f t="shared" si="30"/>
        <v>2021</v>
      </c>
      <c r="E490" s="5" t="str">
        <f t="shared" si="31"/>
        <v>Q4</v>
      </c>
      <c r="F490" s="5">
        <v>147.59649659999999</v>
      </c>
      <c r="G490" s="5">
        <v>148.39300539999999</v>
      </c>
      <c r="H490" s="5">
        <v>146.4060059</v>
      </c>
      <c r="I490" s="5">
        <v>148.18649289999999</v>
      </c>
      <c r="J490" s="5">
        <v>24270000</v>
      </c>
      <c r="K490" s="5">
        <v>147.65124510000001</v>
      </c>
    </row>
    <row r="491" spans="1:11" hidden="1">
      <c r="A491" s="4">
        <v>44540</v>
      </c>
      <c r="B491" s="5">
        <f t="shared" si="28"/>
        <v>10</v>
      </c>
      <c r="C491" s="5">
        <f t="shared" si="29"/>
        <v>12</v>
      </c>
      <c r="D491" s="5">
        <f t="shared" si="30"/>
        <v>2021</v>
      </c>
      <c r="E491" s="5" t="str">
        <f t="shared" si="31"/>
        <v>Q4</v>
      </c>
      <c r="F491" s="5">
        <v>147.59100340000001</v>
      </c>
      <c r="G491" s="5">
        <v>149.1000061</v>
      </c>
      <c r="H491" s="5">
        <v>147.1150055</v>
      </c>
      <c r="I491" s="5">
        <v>147.63850400000001</v>
      </c>
      <c r="J491" s="5">
        <v>23270000</v>
      </c>
      <c r="K491" s="5">
        <v>147.10523989999999</v>
      </c>
    </row>
    <row r="492" spans="1:11" hidden="1">
      <c r="A492" s="4">
        <v>44543</v>
      </c>
      <c r="B492" s="5">
        <f t="shared" si="28"/>
        <v>13</v>
      </c>
      <c r="C492" s="5">
        <f t="shared" si="29"/>
        <v>12</v>
      </c>
      <c r="D492" s="5">
        <f t="shared" si="30"/>
        <v>2021</v>
      </c>
      <c r="E492" s="5" t="str">
        <f t="shared" si="31"/>
        <v>Q4</v>
      </c>
      <c r="F492" s="5">
        <v>148.6999969</v>
      </c>
      <c r="G492" s="5">
        <v>148.97749329999999</v>
      </c>
      <c r="H492" s="5">
        <v>146.7039948</v>
      </c>
      <c r="I492" s="5">
        <v>148.00149540000001</v>
      </c>
      <c r="J492" s="5">
        <v>24458000</v>
      </c>
      <c r="K492" s="5">
        <v>147.46690369999999</v>
      </c>
    </row>
    <row r="493" spans="1:11" hidden="1">
      <c r="A493" s="4">
        <v>44544</v>
      </c>
      <c r="B493" s="5">
        <f t="shared" si="28"/>
        <v>14</v>
      </c>
      <c r="C493" s="5">
        <f t="shared" si="29"/>
        <v>12</v>
      </c>
      <c r="D493" s="5">
        <f t="shared" si="30"/>
        <v>2021</v>
      </c>
      <c r="E493" s="5" t="str">
        <f t="shared" si="31"/>
        <v>Q4</v>
      </c>
      <c r="F493" s="5">
        <v>147.7814941</v>
      </c>
      <c r="G493" s="5">
        <v>147.97000120000001</v>
      </c>
      <c r="H493" s="5">
        <v>145.51750179999999</v>
      </c>
      <c r="I493" s="5">
        <v>145.82650760000001</v>
      </c>
      <c r="J493" s="5">
        <v>27070000</v>
      </c>
      <c r="K493" s="5">
        <v>145.29978940000001</v>
      </c>
    </row>
    <row r="494" spans="1:11" hidden="1">
      <c r="A494" s="4">
        <v>44545</v>
      </c>
      <c r="B494" s="5">
        <f t="shared" si="28"/>
        <v>15</v>
      </c>
      <c r="C494" s="5">
        <f t="shared" si="29"/>
        <v>12</v>
      </c>
      <c r="D494" s="5">
        <f t="shared" si="30"/>
        <v>2021</v>
      </c>
      <c r="E494" s="5" t="str">
        <f t="shared" si="31"/>
        <v>Q4</v>
      </c>
      <c r="F494" s="5">
        <v>143.96800229999999</v>
      </c>
      <c r="G494" s="5">
        <v>144.47999569999999</v>
      </c>
      <c r="H494" s="5">
        <v>141.2149963</v>
      </c>
      <c r="I494" s="5">
        <v>143.90699770000001</v>
      </c>
      <c r="J494" s="5">
        <v>38446000</v>
      </c>
      <c r="K494" s="5">
        <v>143.38720699999999</v>
      </c>
    </row>
    <row r="495" spans="1:11" hidden="1">
      <c r="A495" s="4">
        <v>44546</v>
      </c>
      <c r="B495" s="5">
        <f t="shared" si="28"/>
        <v>16</v>
      </c>
      <c r="C495" s="5">
        <f t="shared" si="29"/>
        <v>12</v>
      </c>
      <c r="D495" s="5">
        <f t="shared" si="30"/>
        <v>2021</v>
      </c>
      <c r="E495" s="5" t="str">
        <f t="shared" si="31"/>
        <v>Q4</v>
      </c>
      <c r="F495" s="5">
        <v>143.40899659999999</v>
      </c>
      <c r="G495" s="5">
        <v>146.72099299999999</v>
      </c>
      <c r="H495" s="5">
        <v>141.6779938</v>
      </c>
      <c r="I495" s="5">
        <v>146.4409943</v>
      </c>
      <c r="J495" s="5">
        <v>36370000</v>
      </c>
      <c r="K495" s="5">
        <v>145.91204830000001</v>
      </c>
    </row>
    <row r="496" spans="1:11" hidden="1">
      <c r="A496" s="4">
        <v>44547</v>
      </c>
      <c r="B496" s="5">
        <f t="shared" si="28"/>
        <v>17</v>
      </c>
      <c r="C496" s="5">
        <f t="shared" si="29"/>
        <v>12</v>
      </c>
      <c r="D496" s="5">
        <f t="shared" si="30"/>
        <v>2021</v>
      </c>
      <c r="E496" s="5" t="str">
        <f t="shared" si="31"/>
        <v>Q4</v>
      </c>
      <c r="F496" s="5">
        <v>147.17050169999999</v>
      </c>
      <c r="G496" s="5">
        <v>147.67700199999999</v>
      </c>
      <c r="H496" s="5">
        <v>143.60699460000001</v>
      </c>
      <c r="I496" s="5">
        <v>144.44500729999999</v>
      </c>
      <c r="J496" s="5">
        <v>33650000</v>
      </c>
      <c r="K496" s="5">
        <v>143.92327879999999</v>
      </c>
    </row>
    <row r="497" spans="1:11" hidden="1">
      <c r="A497" s="4">
        <v>44550</v>
      </c>
      <c r="B497" s="5">
        <f t="shared" si="28"/>
        <v>20</v>
      </c>
      <c r="C497" s="5">
        <f t="shared" si="29"/>
        <v>12</v>
      </c>
      <c r="D497" s="5">
        <f t="shared" si="30"/>
        <v>2021</v>
      </c>
      <c r="E497" s="5" t="str">
        <f t="shared" si="31"/>
        <v>Q4</v>
      </c>
      <c r="F497" s="5">
        <v>142.5</v>
      </c>
      <c r="G497" s="5">
        <v>143.8345032</v>
      </c>
      <c r="H497" s="5">
        <v>141.3000031</v>
      </c>
      <c r="I497" s="5">
        <v>141.7250061</v>
      </c>
      <c r="J497" s="5">
        <v>50416000</v>
      </c>
      <c r="K497" s="5">
        <v>141.2131042</v>
      </c>
    </row>
    <row r="498" spans="1:11" hidden="1">
      <c r="A498" s="4">
        <v>44551</v>
      </c>
      <c r="B498" s="5">
        <f t="shared" si="28"/>
        <v>21</v>
      </c>
      <c r="C498" s="5">
        <f t="shared" si="29"/>
        <v>12</v>
      </c>
      <c r="D498" s="5">
        <f t="shared" si="30"/>
        <v>2021</v>
      </c>
      <c r="E498" s="5" t="str">
        <f t="shared" si="31"/>
        <v>Q4</v>
      </c>
      <c r="F498" s="5">
        <v>140</v>
      </c>
      <c r="G498" s="5">
        <v>141.7745056</v>
      </c>
      <c r="H498" s="5">
        <v>139.32099909999999</v>
      </c>
      <c r="I498" s="5">
        <v>141.60699460000001</v>
      </c>
      <c r="J498" s="5">
        <v>27192000</v>
      </c>
      <c r="K498" s="5">
        <v>141.09550479999999</v>
      </c>
    </row>
    <row r="499" spans="1:11" hidden="1">
      <c r="A499" s="4">
        <v>44552</v>
      </c>
      <c r="B499" s="5">
        <f t="shared" si="28"/>
        <v>22</v>
      </c>
      <c r="C499" s="5">
        <f t="shared" si="29"/>
        <v>12</v>
      </c>
      <c r="D499" s="5">
        <f t="shared" si="30"/>
        <v>2021</v>
      </c>
      <c r="E499" s="5" t="str">
        <f t="shared" si="31"/>
        <v>Q4</v>
      </c>
      <c r="F499" s="5">
        <v>142.0534973</v>
      </c>
      <c r="G499" s="5">
        <v>143.8690033</v>
      </c>
      <c r="H499" s="5">
        <v>140.5025024</v>
      </c>
      <c r="I499" s="5">
        <v>143.4725037</v>
      </c>
      <c r="J499" s="5">
        <v>28756000</v>
      </c>
      <c r="K499" s="5">
        <v>142.95428469999999</v>
      </c>
    </row>
    <row r="500" spans="1:11" hidden="1">
      <c r="A500" s="4">
        <v>44553</v>
      </c>
      <c r="B500" s="5">
        <f t="shared" si="28"/>
        <v>23</v>
      </c>
      <c r="C500" s="5">
        <f t="shared" si="29"/>
        <v>12</v>
      </c>
      <c r="D500" s="5">
        <f t="shared" si="30"/>
        <v>2021</v>
      </c>
      <c r="E500" s="5" t="str">
        <f t="shared" si="31"/>
        <v>Q4</v>
      </c>
      <c r="F500" s="5">
        <v>143.06750489999999</v>
      </c>
      <c r="G500" s="5">
        <v>146.5</v>
      </c>
      <c r="H500" s="5">
        <v>143.06750489999999</v>
      </c>
      <c r="I500" s="5">
        <v>146.41499329999999</v>
      </c>
      <c r="J500" s="5">
        <v>26322000</v>
      </c>
      <c r="K500" s="5">
        <v>145.88613889999999</v>
      </c>
    </row>
    <row r="501" spans="1:11" hidden="1">
      <c r="A501" s="4">
        <v>44557</v>
      </c>
      <c r="B501" s="5">
        <f t="shared" si="28"/>
        <v>27</v>
      </c>
      <c r="C501" s="5">
        <f t="shared" si="29"/>
        <v>12</v>
      </c>
      <c r="D501" s="5">
        <f t="shared" si="30"/>
        <v>2021</v>
      </c>
      <c r="E501" s="5" t="str">
        <f t="shared" si="31"/>
        <v>Q4</v>
      </c>
      <c r="F501" s="5">
        <v>146.5</v>
      </c>
      <c r="G501" s="5">
        <v>148.2434998</v>
      </c>
      <c r="H501" s="5">
        <v>146.45199579999999</v>
      </c>
      <c r="I501" s="5">
        <v>146.91650390000001</v>
      </c>
      <c r="J501" s="5">
        <v>26384000</v>
      </c>
      <c r="K501" s="5">
        <v>146.38584900000001</v>
      </c>
    </row>
    <row r="502" spans="1:11" hidden="1">
      <c r="A502" s="4">
        <v>44558</v>
      </c>
      <c r="B502" s="5">
        <f t="shared" si="28"/>
        <v>28</v>
      </c>
      <c r="C502" s="5">
        <f t="shared" si="29"/>
        <v>12</v>
      </c>
      <c r="D502" s="5">
        <f t="shared" si="30"/>
        <v>2021</v>
      </c>
      <c r="E502" s="5" t="str">
        <f t="shared" si="31"/>
        <v>Q4</v>
      </c>
      <c r="F502" s="5">
        <v>147.2559967</v>
      </c>
      <c r="G502" s="5">
        <v>148.3439941</v>
      </c>
      <c r="H502" s="5">
        <v>147.16949460000001</v>
      </c>
      <c r="I502" s="5">
        <v>147.9064941</v>
      </c>
      <c r="J502" s="5">
        <v>15976000</v>
      </c>
      <c r="K502" s="5">
        <v>147.37225340000001</v>
      </c>
    </row>
    <row r="503" spans="1:11" hidden="1">
      <c r="A503" s="4">
        <v>44559</v>
      </c>
      <c r="B503" s="5">
        <f t="shared" si="28"/>
        <v>29</v>
      </c>
      <c r="C503" s="5">
        <f t="shared" si="29"/>
        <v>12</v>
      </c>
      <c r="D503" s="5">
        <f t="shared" si="30"/>
        <v>2021</v>
      </c>
      <c r="E503" s="5" t="str">
        <f t="shared" si="31"/>
        <v>Q4</v>
      </c>
      <c r="F503" s="5">
        <v>148.23599239999999</v>
      </c>
      <c r="G503" s="5">
        <v>148.29899599999999</v>
      </c>
      <c r="H503" s="5">
        <v>146.05450440000001</v>
      </c>
      <c r="I503" s="5">
        <v>146.68699649999999</v>
      </c>
      <c r="J503" s="5">
        <v>18200000</v>
      </c>
      <c r="K503" s="5">
        <v>146.15716549999999</v>
      </c>
    </row>
    <row r="504" spans="1:11" hidden="1">
      <c r="A504" s="4">
        <v>44560</v>
      </c>
      <c r="B504" s="5">
        <f t="shared" si="28"/>
        <v>30</v>
      </c>
      <c r="C504" s="5">
        <f t="shared" si="29"/>
        <v>12</v>
      </c>
      <c r="D504" s="5">
        <f t="shared" si="30"/>
        <v>2021</v>
      </c>
      <c r="E504" s="5" t="str">
        <f t="shared" si="31"/>
        <v>Q4</v>
      </c>
      <c r="F504" s="5">
        <v>146.64450070000001</v>
      </c>
      <c r="G504" s="5">
        <v>147.41700739999999</v>
      </c>
      <c r="H504" s="5">
        <v>145.64750670000001</v>
      </c>
      <c r="I504" s="5">
        <v>146.65499879999999</v>
      </c>
      <c r="J504" s="5">
        <v>17788000</v>
      </c>
      <c r="K504" s="5">
        <v>146.12527470000001</v>
      </c>
    </row>
    <row r="505" spans="1:11" hidden="1">
      <c r="A505" s="4">
        <v>44561</v>
      </c>
      <c r="B505" s="5">
        <f t="shared" si="28"/>
        <v>31</v>
      </c>
      <c r="C505" s="5">
        <f t="shared" si="29"/>
        <v>12</v>
      </c>
      <c r="D505" s="5">
        <f t="shared" si="30"/>
        <v>2021</v>
      </c>
      <c r="E505" s="5" t="str">
        <f t="shared" si="31"/>
        <v>Q4</v>
      </c>
      <c r="F505" s="5">
        <v>146.6940002</v>
      </c>
      <c r="G505" s="5">
        <v>147.3000031</v>
      </c>
      <c r="H505" s="5">
        <v>145.99450680000001</v>
      </c>
      <c r="I505" s="5">
        <v>146.2005005</v>
      </c>
      <c r="J505" s="5">
        <v>15688000</v>
      </c>
      <c r="K505" s="5">
        <v>145.67242429999999</v>
      </c>
    </row>
    <row r="506" spans="1:11">
      <c r="A506" s="4">
        <v>44564</v>
      </c>
      <c r="B506" s="5">
        <f t="shared" si="28"/>
        <v>3</v>
      </c>
      <c r="C506" s="5">
        <f t="shared" si="29"/>
        <v>1</v>
      </c>
      <c r="D506" s="5">
        <f t="shared" si="30"/>
        <v>2022</v>
      </c>
      <c r="E506" s="5" t="str">
        <f t="shared" si="31"/>
        <v>Q1</v>
      </c>
      <c r="F506" s="5">
        <v>146.0500031</v>
      </c>
      <c r="G506" s="5">
        <v>146.69850159999999</v>
      </c>
      <c r="H506" s="5">
        <v>144.85200499999999</v>
      </c>
      <c r="I506" s="5">
        <v>144.85200499999999</v>
      </c>
      <c r="J506" s="5">
        <v>18136000</v>
      </c>
      <c r="K506" s="5">
        <v>144.32879639999999</v>
      </c>
    </row>
    <row r="507" spans="1:11">
      <c r="A507" s="4">
        <v>44565</v>
      </c>
      <c r="B507" s="5">
        <f t="shared" si="28"/>
        <v>4</v>
      </c>
      <c r="C507" s="5">
        <f t="shared" si="29"/>
        <v>1</v>
      </c>
      <c r="D507" s="5">
        <f t="shared" si="30"/>
        <v>2022</v>
      </c>
      <c r="E507" s="5" t="str">
        <f t="shared" si="31"/>
        <v>Q1</v>
      </c>
      <c r="F507" s="5">
        <v>145.05499270000001</v>
      </c>
      <c r="G507" s="5">
        <v>145.85099790000001</v>
      </c>
      <c r="H507" s="5">
        <v>143.71299740000001</v>
      </c>
      <c r="I507" s="5">
        <v>144.99150090000001</v>
      </c>
      <c r="J507" s="5">
        <v>28646000</v>
      </c>
      <c r="K507" s="5">
        <v>144.4677887</v>
      </c>
    </row>
    <row r="508" spans="1:11">
      <c r="A508" s="4">
        <v>44566</v>
      </c>
      <c r="B508" s="5">
        <f t="shared" si="28"/>
        <v>5</v>
      </c>
      <c r="C508" s="5">
        <f t="shared" si="29"/>
        <v>1</v>
      </c>
      <c r="D508" s="5">
        <f t="shared" si="30"/>
        <v>2022</v>
      </c>
      <c r="E508" s="5" t="str">
        <f t="shared" si="31"/>
        <v>Q1</v>
      </c>
      <c r="F508" s="5">
        <v>145.39599609999999</v>
      </c>
      <c r="G508" s="5">
        <v>146.48500060000001</v>
      </c>
      <c r="H508" s="5">
        <v>143.71650700000001</v>
      </c>
      <c r="I508" s="5">
        <v>144.3995056</v>
      </c>
      <c r="J508" s="5">
        <v>28400000</v>
      </c>
      <c r="K508" s="5">
        <v>143.87794489999999</v>
      </c>
    </row>
    <row r="509" spans="1:11">
      <c r="A509" s="4">
        <v>44567</v>
      </c>
      <c r="B509" s="5">
        <f t="shared" si="28"/>
        <v>6</v>
      </c>
      <c r="C509" s="5">
        <f t="shared" si="29"/>
        <v>1</v>
      </c>
      <c r="D509" s="5">
        <f t="shared" si="30"/>
        <v>2022</v>
      </c>
      <c r="E509" s="5" t="str">
        <f t="shared" si="31"/>
        <v>Q1</v>
      </c>
      <c r="F509" s="5">
        <v>144.41999820000001</v>
      </c>
      <c r="G509" s="5">
        <v>144.49949649999999</v>
      </c>
      <c r="H509" s="5">
        <v>137.68800350000001</v>
      </c>
      <c r="I509" s="5">
        <v>137.7749939</v>
      </c>
      <c r="J509" s="5">
        <v>54618000</v>
      </c>
      <c r="K509" s="5">
        <v>137.27735899999999</v>
      </c>
    </row>
    <row r="510" spans="1:11">
      <c r="A510" s="4">
        <v>44568</v>
      </c>
      <c r="B510" s="5">
        <f t="shared" si="28"/>
        <v>7</v>
      </c>
      <c r="C510" s="5">
        <f t="shared" si="29"/>
        <v>1</v>
      </c>
      <c r="D510" s="5">
        <f t="shared" si="30"/>
        <v>2022</v>
      </c>
      <c r="E510" s="5" t="str">
        <f t="shared" si="31"/>
        <v>Q1</v>
      </c>
      <c r="F510" s="5">
        <v>136.99850459999999</v>
      </c>
      <c r="G510" s="5">
        <v>139.9400024</v>
      </c>
      <c r="H510" s="5">
        <v>136.55850219999999</v>
      </c>
      <c r="I510" s="5">
        <v>137.7474976</v>
      </c>
      <c r="J510" s="5">
        <v>37348000</v>
      </c>
      <c r="K510" s="5">
        <v>137.24996949999999</v>
      </c>
    </row>
    <row r="511" spans="1:11">
      <c r="A511" s="4">
        <v>44571</v>
      </c>
      <c r="B511" s="5">
        <f t="shared" si="28"/>
        <v>10</v>
      </c>
      <c r="C511" s="5">
        <f t="shared" si="29"/>
        <v>1</v>
      </c>
      <c r="D511" s="5">
        <f t="shared" si="30"/>
        <v>2022</v>
      </c>
      <c r="E511" s="5" t="str">
        <f t="shared" si="31"/>
        <v>Q1</v>
      </c>
      <c r="F511" s="5">
        <v>138.14549260000001</v>
      </c>
      <c r="G511" s="5">
        <v>138.44850159999999</v>
      </c>
      <c r="H511" s="5">
        <v>135.7664948</v>
      </c>
      <c r="I511" s="5">
        <v>137.01699830000001</v>
      </c>
      <c r="J511" s="5">
        <v>29760000</v>
      </c>
      <c r="K511" s="5">
        <v>136.5220947</v>
      </c>
    </row>
    <row r="512" spans="1:11">
      <c r="A512" s="4">
        <v>44572</v>
      </c>
      <c r="B512" s="5">
        <f t="shared" si="28"/>
        <v>11</v>
      </c>
      <c r="C512" s="5">
        <f t="shared" si="29"/>
        <v>1</v>
      </c>
      <c r="D512" s="5">
        <f t="shared" si="30"/>
        <v>2022</v>
      </c>
      <c r="E512" s="5" t="str">
        <f t="shared" si="31"/>
        <v>Q1</v>
      </c>
      <c r="F512" s="5">
        <v>135.0780029</v>
      </c>
      <c r="G512" s="5">
        <v>138.81950380000001</v>
      </c>
      <c r="H512" s="5">
        <v>133.16450499999999</v>
      </c>
      <c r="I512" s="5">
        <v>138.66949460000001</v>
      </c>
      <c r="J512" s="5">
        <v>44408000</v>
      </c>
      <c r="K512" s="5">
        <v>138.1686401</v>
      </c>
    </row>
    <row r="513" spans="1:11">
      <c r="A513" s="4">
        <v>44573</v>
      </c>
      <c r="B513" s="5">
        <f t="shared" si="28"/>
        <v>12</v>
      </c>
      <c r="C513" s="5">
        <f t="shared" si="29"/>
        <v>1</v>
      </c>
      <c r="D513" s="5">
        <f t="shared" si="30"/>
        <v>2022</v>
      </c>
      <c r="E513" s="5" t="str">
        <f t="shared" si="31"/>
        <v>Q1</v>
      </c>
      <c r="F513" s="5">
        <v>138.00700380000001</v>
      </c>
      <c r="G513" s="5">
        <v>140.21600340000001</v>
      </c>
      <c r="H513" s="5">
        <v>136.69250489999999</v>
      </c>
      <c r="I513" s="5">
        <v>139.73599239999999</v>
      </c>
      <c r="J513" s="5">
        <v>28730000</v>
      </c>
      <c r="K513" s="5">
        <v>139.2312775</v>
      </c>
    </row>
    <row r="514" spans="1:11">
      <c r="A514" s="4">
        <v>44574</v>
      </c>
      <c r="B514" s="5">
        <f t="shared" ref="B514:B577" si="32">DAY(A514)</f>
        <v>13</v>
      </c>
      <c r="C514" s="5">
        <f t="shared" ref="C514:C577" si="33">MONTH(A514)</f>
        <v>1</v>
      </c>
      <c r="D514" s="5">
        <f t="shared" ref="D514:D577" si="34">YEAR(A514)</f>
        <v>2022</v>
      </c>
      <c r="E514" s="5" t="str">
        <f t="shared" ref="E514:E577" si="35">"Q"&amp;ROUNDUP(MONTH(A514)/3,0)</f>
        <v>Q1</v>
      </c>
      <c r="F514" s="5">
        <v>141.1499939</v>
      </c>
      <c r="G514" s="5">
        <v>142.60800169999999</v>
      </c>
      <c r="H514" s="5">
        <v>140.69450380000001</v>
      </c>
      <c r="I514" s="5">
        <v>141.43049619999999</v>
      </c>
      <c r="J514" s="5">
        <v>26108000</v>
      </c>
      <c r="K514" s="5">
        <v>140.91964719999999</v>
      </c>
    </row>
    <row r="515" spans="1:11">
      <c r="A515" s="4">
        <v>44575</v>
      </c>
      <c r="B515" s="5">
        <f t="shared" si="32"/>
        <v>14</v>
      </c>
      <c r="C515" s="5">
        <f t="shared" si="33"/>
        <v>1</v>
      </c>
      <c r="D515" s="5">
        <f t="shared" si="34"/>
        <v>2022</v>
      </c>
      <c r="E515" s="5" t="str">
        <f t="shared" si="35"/>
        <v>Q1</v>
      </c>
      <c r="F515" s="5">
        <v>141.53999329999999</v>
      </c>
      <c r="G515" s="5">
        <v>142.8500061</v>
      </c>
      <c r="H515" s="5">
        <v>138.40899659999999</v>
      </c>
      <c r="I515" s="5">
        <v>138.5870056</v>
      </c>
      <c r="J515" s="5">
        <v>31436000</v>
      </c>
      <c r="K515" s="5">
        <v>138.08644100000001</v>
      </c>
    </row>
    <row r="516" spans="1:11">
      <c r="A516" s="4">
        <v>44579</v>
      </c>
      <c r="B516" s="5">
        <f t="shared" si="32"/>
        <v>18</v>
      </c>
      <c r="C516" s="5">
        <f t="shared" si="33"/>
        <v>1</v>
      </c>
      <c r="D516" s="5">
        <f t="shared" si="34"/>
        <v>2022</v>
      </c>
      <c r="E516" s="5" t="str">
        <f t="shared" si="35"/>
        <v>Q1</v>
      </c>
      <c r="F516" s="5">
        <v>137.0789948</v>
      </c>
      <c r="G516" s="5">
        <v>140.74200440000001</v>
      </c>
      <c r="H516" s="5">
        <v>136.99850459999999</v>
      </c>
      <c r="I516" s="5">
        <v>139.48049929999999</v>
      </c>
      <c r="J516" s="5">
        <v>29662000</v>
      </c>
      <c r="K516" s="5">
        <v>138.97669980000001</v>
      </c>
    </row>
    <row r="517" spans="1:11">
      <c r="A517" s="4">
        <v>44580</v>
      </c>
      <c r="B517" s="5">
        <f t="shared" si="32"/>
        <v>19</v>
      </c>
      <c r="C517" s="5">
        <f t="shared" si="33"/>
        <v>1</v>
      </c>
      <c r="D517" s="5">
        <f t="shared" si="34"/>
        <v>2022</v>
      </c>
      <c r="E517" s="5" t="str">
        <f t="shared" si="35"/>
        <v>Q1</v>
      </c>
      <c r="F517" s="5">
        <v>136.1750031</v>
      </c>
      <c r="G517" s="5">
        <v>137.1315002</v>
      </c>
      <c r="H517" s="5">
        <v>135.43850710000001</v>
      </c>
      <c r="I517" s="5">
        <v>135.99800110000001</v>
      </c>
      <c r="J517" s="5">
        <v>34872000</v>
      </c>
      <c r="K517" s="5">
        <v>135.50677490000001</v>
      </c>
    </row>
    <row r="518" spans="1:11">
      <c r="A518" s="4">
        <v>44581</v>
      </c>
      <c r="B518" s="5">
        <f t="shared" si="32"/>
        <v>20</v>
      </c>
      <c r="C518" s="5">
        <f t="shared" si="33"/>
        <v>1</v>
      </c>
      <c r="D518" s="5">
        <f t="shared" si="34"/>
        <v>2022</v>
      </c>
      <c r="E518" s="5" t="str">
        <f t="shared" si="35"/>
        <v>Q1</v>
      </c>
      <c r="F518" s="5">
        <v>136.52349849999999</v>
      </c>
      <c r="G518" s="5">
        <v>137.9595032</v>
      </c>
      <c r="H518" s="5">
        <v>135.0155029</v>
      </c>
      <c r="I518" s="5">
        <v>135.11650090000001</v>
      </c>
      <c r="J518" s="5">
        <v>28648000</v>
      </c>
      <c r="K518" s="5">
        <v>134.6284637</v>
      </c>
    </row>
    <row r="519" spans="1:11">
      <c r="A519" s="4">
        <v>44582</v>
      </c>
      <c r="B519" s="5">
        <f t="shared" si="32"/>
        <v>21</v>
      </c>
      <c r="C519" s="5">
        <f t="shared" si="33"/>
        <v>1</v>
      </c>
      <c r="D519" s="5">
        <f t="shared" si="34"/>
        <v>2022</v>
      </c>
      <c r="E519" s="5" t="str">
        <f t="shared" si="35"/>
        <v>Q1</v>
      </c>
      <c r="F519" s="5">
        <v>136.25</v>
      </c>
      <c r="G519" s="5">
        <v>137.62600710000001</v>
      </c>
      <c r="H519" s="5">
        <v>132.96449279999999</v>
      </c>
      <c r="I519" s="5">
        <v>133.30749510000001</v>
      </c>
      <c r="J519" s="5">
        <v>29908000</v>
      </c>
      <c r="K519" s="5">
        <v>132.8259888</v>
      </c>
    </row>
    <row r="520" spans="1:11">
      <c r="A520" s="4">
        <v>44585</v>
      </c>
      <c r="B520" s="5">
        <f t="shared" si="32"/>
        <v>24</v>
      </c>
      <c r="C520" s="5">
        <f t="shared" si="33"/>
        <v>1</v>
      </c>
      <c r="D520" s="5">
        <f t="shared" si="34"/>
        <v>2022</v>
      </c>
      <c r="E520" s="5" t="str">
        <f t="shared" si="35"/>
        <v>Q1</v>
      </c>
      <c r="F520" s="5">
        <v>132.5935059</v>
      </c>
      <c r="G520" s="5">
        <v>134.8654938</v>
      </c>
      <c r="H520" s="5">
        <v>130.08650209999999</v>
      </c>
      <c r="I520" s="5">
        <v>130.35150150000001</v>
      </c>
      <c r="J520" s="5">
        <v>55652000</v>
      </c>
      <c r="K520" s="5">
        <v>129.8806763</v>
      </c>
    </row>
    <row r="521" spans="1:11">
      <c r="A521" s="4">
        <v>44586</v>
      </c>
      <c r="B521" s="5">
        <f t="shared" si="32"/>
        <v>25</v>
      </c>
      <c r="C521" s="5">
        <f t="shared" si="33"/>
        <v>1</v>
      </c>
      <c r="D521" s="5">
        <f t="shared" si="34"/>
        <v>2022</v>
      </c>
      <c r="E521" s="5" t="str">
        <f t="shared" si="35"/>
        <v>Q1</v>
      </c>
      <c r="F521" s="5">
        <v>125.9779968</v>
      </c>
      <c r="G521" s="5">
        <v>131.2030029</v>
      </c>
      <c r="H521" s="5">
        <v>124.5</v>
      </c>
      <c r="I521" s="5">
        <v>130.80400090000001</v>
      </c>
      <c r="J521" s="5">
        <v>76622000</v>
      </c>
      <c r="K521" s="5">
        <v>130.33154300000001</v>
      </c>
    </row>
    <row r="522" spans="1:11">
      <c r="A522" s="4">
        <v>44587</v>
      </c>
      <c r="B522" s="5">
        <f t="shared" si="32"/>
        <v>26</v>
      </c>
      <c r="C522" s="5">
        <f t="shared" si="33"/>
        <v>1</v>
      </c>
      <c r="D522" s="5">
        <f t="shared" si="34"/>
        <v>2022</v>
      </c>
      <c r="E522" s="5" t="str">
        <f t="shared" si="35"/>
        <v>Q1</v>
      </c>
      <c r="F522" s="5">
        <v>128.7400055</v>
      </c>
      <c r="G522" s="5">
        <v>129.39900209999999</v>
      </c>
      <c r="H522" s="5">
        <v>126.50050349999999</v>
      </c>
      <c r="I522" s="5">
        <v>126.9349976</v>
      </c>
      <c r="J522" s="5">
        <v>46960000</v>
      </c>
      <c r="K522" s="5">
        <v>126.4765091</v>
      </c>
    </row>
    <row r="523" spans="1:11">
      <c r="A523" s="4">
        <v>44588</v>
      </c>
      <c r="B523" s="5">
        <f t="shared" si="32"/>
        <v>27</v>
      </c>
      <c r="C523" s="5">
        <f t="shared" si="33"/>
        <v>1</v>
      </c>
      <c r="D523" s="5">
        <f t="shared" si="34"/>
        <v>2022</v>
      </c>
      <c r="E523" s="5" t="str">
        <f t="shared" si="35"/>
        <v>Q1</v>
      </c>
      <c r="F523" s="5">
        <v>131.1190033</v>
      </c>
      <c r="G523" s="5">
        <v>133</v>
      </c>
      <c r="H523" s="5">
        <v>127.1419983</v>
      </c>
      <c r="I523" s="5">
        <v>129.23300169999999</v>
      </c>
      <c r="J523" s="5">
        <v>49130000</v>
      </c>
      <c r="K523" s="5">
        <v>128.7662048</v>
      </c>
    </row>
    <row r="524" spans="1:11">
      <c r="A524" s="4">
        <v>44589</v>
      </c>
      <c r="B524" s="5">
        <f t="shared" si="32"/>
        <v>28</v>
      </c>
      <c r="C524" s="5">
        <f t="shared" si="33"/>
        <v>1</v>
      </c>
      <c r="D524" s="5">
        <f t="shared" si="34"/>
        <v>2022</v>
      </c>
      <c r="E524" s="5" t="str">
        <f t="shared" si="35"/>
        <v>Q1</v>
      </c>
      <c r="F524" s="5">
        <v>131.30400090000001</v>
      </c>
      <c r="G524" s="5">
        <v>132.6524963</v>
      </c>
      <c r="H524" s="5">
        <v>128.93249510000001</v>
      </c>
      <c r="I524" s="5">
        <v>129.00500489999999</v>
      </c>
      <c r="J524" s="5">
        <v>31950000</v>
      </c>
      <c r="K524" s="5">
        <v>128.5390472</v>
      </c>
    </row>
    <row r="525" spans="1:11">
      <c r="A525" s="4">
        <v>44592</v>
      </c>
      <c r="B525" s="5">
        <f t="shared" si="32"/>
        <v>31</v>
      </c>
      <c r="C525" s="5">
        <f t="shared" si="33"/>
        <v>1</v>
      </c>
      <c r="D525" s="5">
        <f t="shared" si="34"/>
        <v>2022</v>
      </c>
      <c r="E525" s="5" t="str">
        <f t="shared" si="35"/>
        <v>Q1</v>
      </c>
      <c r="F525" s="5">
        <v>129.65899659999999</v>
      </c>
      <c r="G525" s="5">
        <v>133.35650630000001</v>
      </c>
      <c r="H525" s="5">
        <v>128.48500060000001</v>
      </c>
      <c r="I525" s="5">
        <v>133.35099790000001</v>
      </c>
      <c r="J525" s="5">
        <v>34362000</v>
      </c>
      <c r="K525" s="5">
        <v>132.869339</v>
      </c>
    </row>
    <row r="526" spans="1:11">
      <c r="A526" s="4">
        <v>44593</v>
      </c>
      <c r="B526" s="5">
        <f t="shared" si="32"/>
        <v>1</v>
      </c>
      <c r="C526" s="5">
        <f t="shared" si="33"/>
        <v>2</v>
      </c>
      <c r="D526" s="5">
        <f t="shared" si="34"/>
        <v>2022</v>
      </c>
      <c r="E526" s="5" t="str">
        <f t="shared" si="35"/>
        <v>Q1</v>
      </c>
      <c r="F526" s="5">
        <v>134.16200259999999</v>
      </c>
      <c r="G526" s="5">
        <v>135.47300720000001</v>
      </c>
      <c r="H526" s="5">
        <v>132.2095032</v>
      </c>
      <c r="I526" s="5">
        <v>135.3034973</v>
      </c>
      <c r="J526" s="5">
        <v>39986000</v>
      </c>
      <c r="K526" s="5">
        <v>134.8147888</v>
      </c>
    </row>
    <row r="527" spans="1:11">
      <c r="A527" s="4">
        <v>44594</v>
      </c>
      <c r="B527" s="5">
        <f t="shared" si="32"/>
        <v>2</v>
      </c>
      <c r="C527" s="5">
        <f t="shared" si="33"/>
        <v>2</v>
      </c>
      <c r="D527" s="5">
        <f t="shared" si="34"/>
        <v>2022</v>
      </c>
      <c r="E527" s="5" t="str">
        <f t="shared" si="35"/>
        <v>Q1</v>
      </c>
      <c r="F527" s="5">
        <v>137.59449770000001</v>
      </c>
      <c r="G527" s="5">
        <v>137.79299929999999</v>
      </c>
      <c r="H527" s="5">
        <v>134.3684998</v>
      </c>
      <c r="I527" s="5">
        <v>137.6439972</v>
      </c>
      <c r="J527" s="5">
        <v>68644000</v>
      </c>
      <c r="K527" s="5">
        <v>137.14682010000001</v>
      </c>
    </row>
    <row r="528" spans="1:11">
      <c r="A528" s="4">
        <v>44595</v>
      </c>
      <c r="B528" s="5">
        <f t="shared" si="32"/>
        <v>3</v>
      </c>
      <c r="C528" s="5">
        <f t="shared" si="33"/>
        <v>2</v>
      </c>
      <c r="D528" s="5">
        <f t="shared" si="34"/>
        <v>2022</v>
      </c>
      <c r="E528" s="5" t="str">
        <f t="shared" si="35"/>
        <v>Q1</v>
      </c>
      <c r="F528" s="5">
        <v>151.25</v>
      </c>
      <c r="G528" s="5">
        <v>151.5464935</v>
      </c>
      <c r="H528" s="5">
        <v>145.52250670000001</v>
      </c>
      <c r="I528" s="5">
        <v>148</v>
      </c>
      <c r="J528" s="5">
        <v>123200000</v>
      </c>
      <c r="K528" s="5">
        <v>147.46542360000001</v>
      </c>
    </row>
    <row r="529" spans="1:11">
      <c r="A529" s="4">
        <v>44596</v>
      </c>
      <c r="B529" s="5">
        <f t="shared" si="32"/>
        <v>4</v>
      </c>
      <c r="C529" s="5">
        <f t="shared" si="33"/>
        <v>2</v>
      </c>
      <c r="D529" s="5">
        <f t="shared" si="34"/>
        <v>2022</v>
      </c>
      <c r="E529" s="5" t="str">
        <f t="shared" si="35"/>
        <v>Q1</v>
      </c>
      <c r="F529" s="5">
        <v>145.70550539999999</v>
      </c>
      <c r="G529" s="5">
        <v>149.6750031</v>
      </c>
      <c r="H529" s="5">
        <v>142.6654968</v>
      </c>
      <c r="I529" s="5">
        <v>143.0899963</v>
      </c>
      <c r="J529" s="5">
        <v>71518000</v>
      </c>
      <c r="K529" s="5">
        <v>142.57315059999999</v>
      </c>
    </row>
    <row r="530" spans="1:11">
      <c r="A530" s="4">
        <v>44599</v>
      </c>
      <c r="B530" s="5">
        <f t="shared" si="32"/>
        <v>7</v>
      </c>
      <c r="C530" s="5">
        <f t="shared" si="33"/>
        <v>2</v>
      </c>
      <c r="D530" s="5">
        <f t="shared" si="34"/>
        <v>2022</v>
      </c>
      <c r="E530" s="5" t="str">
        <f t="shared" si="35"/>
        <v>Q1</v>
      </c>
      <c r="F530" s="5">
        <v>143.44450380000001</v>
      </c>
      <c r="G530" s="5">
        <v>144.875</v>
      </c>
      <c r="H530" s="5">
        <v>140.51499939999999</v>
      </c>
      <c r="I530" s="5">
        <v>143.29299929999999</v>
      </c>
      <c r="J530" s="5">
        <v>57998000</v>
      </c>
      <c r="K530" s="5">
        <v>142.77543639999999</v>
      </c>
    </row>
    <row r="531" spans="1:11">
      <c r="A531" s="4">
        <v>44600</v>
      </c>
      <c r="B531" s="5">
        <f t="shared" si="32"/>
        <v>8</v>
      </c>
      <c r="C531" s="5">
        <f t="shared" si="33"/>
        <v>2</v>
      </c>
      <c r="D531" s="5">
        <f t="shared" si="34"/>
        <v>2022</v>
      </c>
      <c r="E531" s="5" t="str">
        <f t="shared" si="35"/>
        <v>Q1</v>
      </c>
      <c r="F531" s="5">
        <v>144.25</v>
      </c>
      <c r="G531" s="5">
        <v>144.25</v>
      </c>
      <c r="H531" s="5">
        <v>138.8999939</v>
      </c>
      <c r="I531" s="5">
        <v>139.20100400000001</v>
      </c>
      <c r="J531" s="5">
        <v>54974000</v>
      </c>
      <c r="K531" s="5">
        <v>138.69822690000001</v>
      </c>
    </row>
    <row r="532" spans="1:11">
      <c r="A532" s="4">
        <v>44601</v>
      </c>
      <c r="B532" s="5">
        <f t="shared" si="32"/>
        <v>9</v>
      </c>
      <c r="C532" s="5">
        <f t="shared" si="33"/>
        <v>2</v>
      </c>
      <c r="D532" s="5">
        <f t="shared" si="34"/>
        <v>2022</v>
      </c>
      <c r="E532" s="5" t="str">
        <f t="shared" si="35"/>
        <v>Q1</v>
      </c>
      <c r="F532" s="5">
        <v>139.02650449999999</v>
      </c>
      <c r="G532" s="5">
        <v>140</v>
      </c>
      <c r="H532" s="5">
        <v>137.01400760000001</v>
      </c>
      <c r="I532" s="5">
        <v>139.39900209999999</v>
      </c>
      <c r="J532" s="5">
        <v>54284000</v>
      </c>
      <c r="K532" s="5">
        <v>138.89549260000001</v>
      </c>
    </row>
    <row r="533" spans="1:11">
      <c r="A533" s="4">
        <v>44602</v>
      </c>
      <c r="B533" s="5">
        <f t="shared" si="32"/>
        <v>10</v>
      </c>
      <c r="C533" s="5">
        <f t="shared" si="33"/>
        <v>2</v>
      </c>
      <c r="D533" s="5">
        <f t="shared" si="34"/>
        <v>2022</v>
      </c>
      <c r="E533" s="5" t="str">
        <f t="shared" si="35"/>
        <v>Q1</v>
      </c>
      <c r="F533" s="5">
        <v>140.96350100000001</v>
      </c>
      <c r="G533" s="5">
        <v>142.5245056</v>
      </c>
      <c r="H533" s="5">
        <v>140.18699649999999</v>
      </c>
      <c r="I533" s="5">
        <v>141.59199520000001</v>
      </c>
      <c r="J533" s="5">
        <v>40144000</v>
      </c>
      <c r="K533" s="5">
        <v>141.08056640000001</v>
      </c>
    </row>
    <row r="534" spans="1:11">
      <c r="A534" s="4">
        <v>44603</v>
      </c>
      <c r="B534" s="5">
        <f t="shared" si="32"/>
        <v>11</v>
      </c>
      <c r="C534" s="5">
        <f t="shared" si="33"/>
        <v>2</v>
      </c>
      <c r="D534" s="5">
        <f t="shared" si="34"/>
        <v>2022</v>
      </c>
      <c r="E534" s="5" t="str">
        <f t="shared" si="35"/>
        <v>Q1</v>
      </c>
      <c r="F534" s="5">
        <v>139.7035065</v>
      </c>
      <c r="G534" s="5">
        <v>141.4844971</v>
      </c>
      <c r="H534" s="5">
        <v>137.95700070000001</v>
      </c>
      <c r="I534" s="5">
        <v>138.61999510000001</v>
      </c>
      <c r="J534" s="5">
        <v>39330000</v>
      </c>
      <c r="K534" s="5">
        <v>138.11929319999999</v>
      </c>
    </row>
    <row r="535" spans="1:11">
      <c r="A535" s="4">
        <v>44606</v>
      </c>
      <c r="B535" s="5">
        <f t="shared" si="32"/>
        <v>14</v>
      </c>
      <c r="C535" s="5">
        <f t="shared" si="33"/>
        <v>2</v>
      </c>
      <c r="D535" s="5">
        <f t="shared" si="34"/>
        <v>2022</v>
      </c>
      <c r="E535" s="5" t="str">
        <f t="shared" si="35"/>
        <v>Q1</v>
      </c>
      <c r="F535" s="5">
        <v>138.6000061</v>
      </c>
      <c r="G535" s="5">
        <v>139.1564941</v>
      </c>
      <c r="H535" s="5">
        <v>133.3999939</v>
      </c>
      <c r="I535" s="5">
        <v>134.28250120000001</v>
      </c>
      <c r="J535" s="5">
        <v>39958000</v>
      </c>
      <c r="K535" s="5">
        <v>133.7974701</v>
      </c>
    </row>
    <row r="536" spans="1:11">
      <c r="A536" s="4">
        <v>44607</v>
      </c>
      <c r="B536" s="5">
        <f t="shared" si="32"/>
        <v>15</v>
      </c>
      <c r="C536" s="5">
        <f t="shared" si="33"/>
        <v>2</v>
      </c>
      <c r="D536" s="5">
        <f t="shared" si="34"/>
        <v>2022</v>
      </c>
      <c r="E536" s="5" t="str">
        <f t="shared" si="35"/>
        <v>Q1</v>
      </c>
      <c r="F536" s="5">
        <v>133.2565002</v>
      </c>
      <c r="G536" s="5">
        <v>136.3000031</v>
      </c>
      <c r="H536" s="5">
        <v>133.2565002</v>
      </c>
      <c r="I536" s="5">
        <v>135.52600100000001</v>
      </c>
      <c r="J536" s="5">
        <v>34302000</v>
      </c>
      <c r="K536" s="5">
        <v>135.03646850000001</v>
      </c>
    </row>
    <row r="537" spans="1:11">
      <c r="A537" s="4">
        <v>44608</v>
      </c>
      <c r="B537" s="5">
        <f t="shared" si="32"/>
        <v>16</v>
      </c>
      <c r="C537" s="5">
        <f t="shared" si="33"/>
        <v>2</v>
      </c>
      <c r="D537" s="5">
        <f t="shared" si="34"/>
        <v>2022</v>
      </c>
      <c r="E537" s="5" t="str">
        <f t="shared" si="35"/>
        <v>Q1</v>
      </c>
      <c r="F537" s="5">
        <v>137.57049559999999</v>
      </c>
      <c r="G537" s="5">
        <v>138.1085052</v>
      </c>
      <c r="H537" s="5">
        <v>135.8215027</v>
      </c>
      <c r="I537" s="5">
        <v>136.6085052</v>
      </c>
      <c r="J537" s="5">
        <v>26680000</v>
      </c>
      <c r="K537" s="5">
        <v>136.11506650000001</v>
      </c>
    </row>
    <row r="538" spans="1:11">
      <c r="A538" s="4">
        <v>44609</v>
      </c>
      <c r="B538" s="5">
        <f t="shared" si="32"/>
        <v>17</v>
      </c>
      <c r="C538" s="5">
        <f t="shared" si="33"/>
        <v>2</v>
      </c>
      <c r="D538" s="5">
        <f t="shared" si="34"/>
        <v>2022</v>
      </c>
      <c r="E538" s="5" t="str">
        <f t="shared" si="35"/>
        <v>Q1</v>
      </c>
      <c r="F538" s="5">
        <v>136.6464996</v>
      </c>
      <c r="G538" s="5">
        <v>138.08599849999999</v>
      </c>
      <c r="H538" s="5">
        <v>134.92399599999999</v>
      </c>
      <c r="I538" s="5">
        <v>137.73800660000001</v>
      </c>
      <c r="J538" s="5">
        <v>25022000</v>
      </c>
      <c r="K538" s="5">
        <v>137.24047849999999</v>
      </c>
    </row>
    <row r="539" spans="1:11">
      <c r="A539" s="4">
        <v>44610</v>
      </c>
      <c r="B539" s="5">
        <f t="shared" si="32"/>
        <v>18</v>
      </c>
      <c r="C539" s="5">
        <f t="shared" si="33"/>
        <v>2</v>
      </c>
      <c r="D539" s="5">
        <f t="shared" si="34"/>
        <v>2022</v>
      </c>
      <c r="E539" s="5" t="str">
        <f t="shared" si="35"/>
        <v>Q1</v>
      </c>
      <c r="F539" s="5">
        <v>136.24299619999999</v>
      </c>
      <c r="G539" s="5">
        <v>137.11349490000001</v>
      </c>
      <c r="H539" s="5">
        <v>132.4785004</v>
      </c>
      <c r="I539" s="5">
        <v>132.53900150000001</v>
      </c>
      <c r="J539" s="5">
        <v>38950000</v>
      </c>
      <c r="K539" s="5">
        <v>132.06025700000001</v>
      </c>
    </row>
    <row r="540" spans="1:11">
      <c r="A540" s="4">
        <v>44614</v>
      </c>
      <c r="B540" s="5">
        <f t="shared" si="32"/>
        <v>22</v>
      </c>
      <c r="C540" s="5">
        <f t="shared" si="33"/>
        <v>2</v>
      </c>
      <c r="D540" s="5">
        <f t="shared" si="34"/>
        <v>2022</v>
      </c>
      <c r="E540" s="5" t="str">
        <f t="shared" si="35"/>
        <v>Q1</v>
      </c>
      <c r="F540" s="5">
        <v>133.46699520000001</v>
      </c>
      <c r="G540" s="5">
        <v>134.07000729999999</v>
      </c>
      <c r="H540" s="5">
        <v>130.1965027</v>
      </c>
      <c r="I540" s="5">
        <v>130.4029999</v>
      </c>
      <c r="J540" s="5">
        <v>45620000</v>
      </c>
      <c r="K540" s="5">
        <v>129.9319916</v>
      </c>
    </row>
    <row r="541" spans="1:11">
      <c r="A541" s="4">
        <v>44615</v>
      </c>
      <c r="B541" s="5">
        <f t="shared" si="32"/>
        <v>23</v>
      </c>
      <c r="C541" s="5">
        <f t="shared" si="33"/>
        <v>2</v>
      </c>
      <c r="D541" s="5">
        <f t="shared" si="34"/>
        <v>2022</v>
      </c>
      <c r="E541" s="5" t="str">
        <f t="shared" si="35"/>
        <v>Q1</v>
      </c>
      <c r="F541" s="5">
        <v>129.83799740000001</v>
      </c>
      <c r="G541" s="5">
        <v>132.18049619999999</v>
      </c>
      <c r="H541" s="5">
        <v>128.22349550000001</v>
      </c>
      <c r="I541" s="5">
        <v>129.81350710000001</v>
      </c>
      <c r="J541" s="5">
        <v>44990000</v>
      </c>
      <c r="K541" s="5">
        <v>129.3446198</v>
      </c>
    </row>
    <row r="542" spans="1:11">
      <c r="A542" s="4">
        <v>44616</v>
      </c>
      <c r="B542" s="5">
        <f t="shared" si="32"/>
        <v>24</v>
      </c>
      <c r="C542" s="5">
        <f t="shared" si="33"/>
        <v>2</v>
      </c>
      <c r="D542" s="5">
        <f t="shared" si="34"/>
        <v>2022</v>
      </c>
      <c r="E542" s="5" t="str">
        <f t="shared" si="35"/>
        <v>Q1</v>
      </c>
      <c r="F542" s="5">
        <v>131.64849849999999</v>
      </c>
      <c r="G542" s="5">
        <v>132.05099490000001</v>
      </c>
      <c r="H542" s="5">
        <v>127.5274963</v>
      </c>
      <c r="I542" s="5">
        <v>127.58799740000001</v>
      </c>
      <c r="J542" s="5">
        <v>32786000</v>
      </c>
      <c r="K542" s="5">
        <v>127.1271515</v>
      </c>
    </row>
    <row r="543" spans="1:11">
      <c r="A543" s="4">
        <v>44617</v>
      </c>
      <c r="B543" s="5">
        <f t="shared" si="32"/>
        <v>25</v>
      </c>
      <c r="C543" s="5">
        <f t="shared" si="33"/>
        <v>2</v>
      </c>
      <c r="D543" s="5">
        <f t="shared" si="34"/>
        <v>2022</v>
      </c>
      <c r="E543" s="5" t="str">
        <f t="shared" si="35"/>
        <v>Q1</v>
      </c>
      <c r="F543" s="5">
        <v>124.95349880000001</v>
      </c>
      <c r="G543" s="5">
        <v>133</v>
      </c>
      <c r="H543" s="5">
        <v>124.95349880000001</v>
      </c>
      <c r="I543" s="5">
        <v>132.6909943</v>
      </c>
      <c r="J543" s="5">
        <v>54456000</v>
      </c>
      <c r="K543" s="5">
        <v>132.21171570000001</v>
      </c>
    </row>
    <row r="544" spans="1:11">
      <c r="A544" s="4">
        <v>44620</v>
      </c>
      <c r="B544" s="5">
        <f t="shared" si="32"/>
        <v>28</v>
      </c>
      <c r="C544" s="5">
        <f t="shared" si="33"/>
        <v>2</v>
      </c>
      <c r="D544" s="5">
        <f t="shared" si="34"/>
        <v>2022</v>
      </c>
      <c r="E544" s="5" t="str">
        <f t="shared" si="35"/>
        <v>Q1</v>
      </c>
      <c r="F544" s="5">
        <v>133.55200199999999</v>
      </c>
      <c r="G544" s="5">
        <v>135.2714996</v>
      </c>
      <c r="H544" s="5">
        <v>131.75149540000001</v>
      </c>
      <c r="I544" s="5">
        <v>134.4595032</v>
      </c>
      <c r="J544" s="5">
        <v>36406000</v>
      </c>
      <c r="K544" s="5">
        <v>133.97383120000001</v>
      </c>
    </row>
    <row r="545" spans="1:11">
      <c r="A545" s="4">
        <v>44621</v>
      </c>
      <c r="B545" s="5">
        <f t="shared" si="32"/>
        <v>1</v>
      </c>
      <c r="C545" s="5">
        <f t="shared" si="33"/>
        <v>3</v>
      </c>
      <c r="D545" s="5">
        <f t="shared" si="34"/>
        <v>2022</v>
      </c>
      <c r="E545" s="5" t="str">
        <f t="shared" si="35"/>
        <v>Q1</v>
      </c>
      <c r="F545" s="5">
        <v>133.0500031</v>
      </c>
      <c r="G545" s="5">
        <v>135.75149540000001</v>
      </c>
      <c r="H545" s="5">
        <v>132.59249879999999</v>
      </c>
      <c r="I545" s="5">
        <v>135.05700680000001</v>
      </c>
      <c r="J545" s="5">
        <v>38864000</v>
      </c>
      <c r="K545" s="5">
        <v>134.56918329999999</v>
      </c>
    </row>
    <row r="546" spans="1:11">
      <c r="A546" s="4">
        <v>44622</v>
      </c>
      <c r="B546" s="5">
        <f t="shared" si="32"/>
        <v>2</v>
      </c>
      <c r="C546" s="5">
        <f t="shared" si="33"/>
        <v>3</v>
      </c>
      <c r="D546" s="5">
        <f t="shared" si="34"/>
        <v>2022</v>
      </c>
      <c r="E546" s="5" t="str">
        <f t="shared" si="35"/>
        <v>Q1</v>
      </c>
      <c r="F546" s="5">
        <v>134.8784943</v>
      </c>
      <c r="G546" s="5">
        <v>136.25549319999999</v>
      </c>
      <c r="H546" s="5">
        <v>133.2185059</v>
      </c>
      <c r="I546" s="5">
        <v>134.06149289999999</v>
      </c>
      <c r="J546" s="5">
        <v>26496000</v>
      </c>
      <c r="K546" s="5">
        <v>133.5772552</v>
      </c>
    </row>
    <row r="547" spans="1:11">
      <c r="A547" s="4">
        <v>44623</v>
      </c>
      <c r="B547" s="5">
        <f t="shared" si="32"/>
        <v>3</v>
      </c>
      <c r="C547" s="5">
        <f t="shared" si="33"/>
        <v>3</v>
      </c>
      <c r="D547" s="5">
        <f t="shared" si="34"/>
        <v>2022</v>
      </c>
      <c r="E547" s="5" t="str">
        <f t="shared" si="35"/>
        <v>Q1</v>
      </c>
      <c r="F547" s="5">
        <v>134.628006</v>
      </c>
      <c r="G547" s="5">
        <v>135.2624969</v>
      </c>
      <c r="H547" s="5">
        <v>133.0715027</v>
      </c>
      <c r="I547" s="5">
        <v>134.5715027</v>
      </c>
      <c r="J547" s="5">
        <v>23520000</v>
      </c>
      <c r="K547" s="5">
        <v>134.08543399999999</v>
      </c>
    </row>
    <row r="548" spans="1:11">
      <c r="A548" s="4">
        <v>44624</v>
      </c>
      <c r="B548" s="5">
        <f t="shared" si="32"/>
        <v>4</v>
      </c>
      <c r="C548" s="5">
        <f t="shared" si="33"/>
        <v>3</v>
      </c>
      <c r="D548" s="5">
        <f t="shared" si="34"/>
        <v>2022</v>
      </c>
      <c r="E548" s="5" t="str">
        <f t="shared" si="35"/>
        <v>Q1</v>
      </c>
      <c r="F548" s="5">
        <v>136.0099945</v>
      </c>
      <c r="G548" s="5">
        <v>136.43949889999999</v>
      </c>
      <c r="H548" s="5">
        <v>133.02549740000001</v>
      </c>
      <c r="I548" s="5">
        <v>133.8995056</v>
      </c>
      <c r="J548" s="5">
        <v>24604000</v>
      </c>
      <c r="K548" s="5">
        <v>133.41584779999999</v>
      </c>
    </row>
    <row r="549" spans="1:11">
      <c r="A549" s="4">
        <v>44627</v>
      </c>
      <c r="B549" s="5">
        <f t="shared" si="32"/>
        <v>7</v>
      </c>
      <c r="C549" s="5">
        <f t="shared" si="33"/>
        <v>3</v>
      </c>
      <c r="D549" s="5">
        <f t="shared" si="34"/>
        <v>2022</v>
      </c>
      <c r="E549" s="5" t="str">
        <f t="shared" si="35"/>
        <v>Q1</v>
      </c>
      <c r="F549" s="5">
        <v>132.9275055</v>
      </c>
      <c r="G549" s="5">
        <v>133.85150150000001</v>
      </c>
      <c r="H549" s="5">
        <v>130.3374939</v>
      </c>
      <c r="I549" s="5">
        <v>131.9064941</v>
      </c>
      <c r="J549" s="5">
        <v>30430000</v>
      </c>
      <c r="K549" s="5">
        <v>131.43003849999999</v>
      </c>
    </row>
    <row r="550" spans="1:11">
      <c r="A550" s="4">
        <v>44628</v>
      </c>
      <c r="B550" s="5">
        <f t="shared" si="32"/>
        <v>8</v>
      </c>
      <c r="C550" s="5">
        <f t="shared" si="33"/>
        <v>3</v>
      </c>
      <c r="D550" s="5">
        <f t="shared" si="34"/>
        <v>2022</v>
      </c>
      <c r="E550" s="5" t="str">
        <f t="shared" si="35"/>
        <v>Q1</v>
      </c>
      <c r="F550" s="5">
        <v>131.48800660000001</v>
      </c>
      <c r="G550" s="5">
        <v>131.73500060000001</v>
      </c>
      <c r="H550" s="5">
        <v>126.29499819999999</v>
      </c>
      <c r="I550" s="5">
        <v>126.3785019</v>
      </c>
      <c r="J550" s="5">
        <v>45112000</v>
      </c>
      <c r="K550" s="5">
        <v>125.92202760000001</v>
      </c>
    </row>
    <row r="551" spans="1:11">
      <c r="A551" s="4">
        <v>44629</v>
      </c>
      <c r="B551" s="5">
        <f t="shared" si="32"/>
        <v>9</v>
      </c>
      <c r="C551" s="5">
        <f t="shared" si="33"/>
        <v>3</v>
      </c>
      <c r="D551" s="5">
        <f t="shared" si="34"/>
        <v>2022</v>
      </c>
      <c r="E551" s="5" t="str">
        <f t="shared" si="35"/>
        <v>Q1</v>
      </c>
      <c r="F551" s="5">
        <v>126.25</v>
      </c>
      <c r="G551" s="5">
        <v>131.25</v>
      </c>
      <c r="H551" s="5">
        <v>125.6744995</v>
      </c>
      <c r="I551" s="5">
        <v>127.1044998</v>
      </c>
      <c r="J551" s="5">
        <v>40428000</v>
      </c>
      <c r="K551" s="5">
        <v>126.64540100000001</v>
      </c>
    </row>
    <row r="552" spans="1:11">
      <c r="A552" s="4">
        <v>44630</v>
      </c>
      <c r="B552" s="5">
        <f t="shared" si="32"/>
        <v>10</v>
      </c>
      <c r="C552" s="5">
        <f t="shared" si="33"/>
        <v>3</v>
      </c>
      <c r="D552" s="5">
        <f t="shared" si="34"/>
        <v>2022</v>
      </c>
      <c r="E552" s="5" t="str">
        <f t="shared" si="35"/>
        <v>Q1</v>
      </c>
      <c r="F552" s="5">
        <v>131.25</v>
      </c>
      <c r="G552" s="5">
        <v>133.73550420000001</v>
      </c>
      <c r="H552" s="5">
        <v>129.90049740000001</v>
      </c>
      <c r="I552" s="5">
        <v>133.41999820000001</v>
      </c>
      <c r="J552" s="5">
        <v>37026000</v>
      </c>
      <c r="K552" s="5">
        <v>132.9380798</v>
      </c>
    </row>
    <row r="553" spans="1:11">
      <c r="A553" s="4">
        <v>44631</v>
      </c>
      <c r="B553" s="5">
        <f t="shared" si="32"/>
        <v>11</v>
      </c>
      <c r="C553" s="5">
        <f t="shared" si="33"/>
        <v>3</v>
      </c>
      <c r="D553" s="5">
        <f t="shared" si="34"/>
        <v>2022</v>
      </c>
      <c r="E553" s="5" t="str">
        <f t="shared" si="35"/>
        <v>Q1</v>
      </c>
      <c r="F553" s="5">
        <v>131.2660065</v>
      </c>
      <c r="G553" s="5">
        <v>133.2720032</v>
      </c>
      <c r="H553" s="5">
        <v>130.9125061</v>
      </c>
      <c r="I553" s="5">
        <v>132.42950440000001</v>
      </c>
      <c r="J553" s="5">
        <v>27102000</v>
      </c>
      <c r="K553" s="5">
        <v>131.95117189999999</v>
      </c>
    </row>
    <row r="554" spans="1:11">
      <c r="A554" s="4">
        <v>44634</v>
      </c>
      <c r="B554" s="5">
        <f t="shared" si="32"/>
        <v>14</v>
      </c>
      <c r="C554" s="5">
        <f t="shared" si="33"/>
        <v>3</v>
      </c>
      <c r="D554" s="5">
        <f t="shared" si="34"/>
        <v>2022</v>
      </c>
      <c r="E554" s="5" t="str">
        <f t="shared" si="35"/>
        <v>Q1</v>
      </c>
      <c r="F554" s="5">
        <v>133.48849490000001</v>
      </c>
      <c r="G554" s="5">
        <v>133.79550169999999</v>
      </c>
      <c r="H554" s="5">
        <v>129.6315002</v>
      </c>
      <c r="I554" s="5">
        <v>129.87049870000001</v>
      </c>
      <c r="J554" s="5">
        <v>31526000</v>
      </c>
      <c r="K554" s="5">
        <v>129.40141299999999</v>
      </c>
    </row>
    <row r="555" spans="1:11">
      <c r="A555" s="4">
        <v>44635</v>
      </c>
      <c r="B555" s="5">
        <f t="shared" si="32"/>
        <v>15</v>
      </c>
      <c r="C555" s="5">
        <f t="shared" si="33"/>
        <v>3</v>
      </c>
      <c r="D555" s="5">
        <f t="shared" si="34"/>
        <v>2022</v>
      </c>
      <c r="E555" s="5" t="str">
        <f t="shared" si="35"/>
        <v>Q1</v>
      </c>
      <c r="F555" s="5">
        <v>130.25</v>
      </c>
      <c r="G555" s="5">
        <v>130.40899659999999</v>
      </c>
      <c r="H555" s="5">
        <v>125.2750015</v>
      </c>
      <c r="I555" s="5">
        <v>125.95099639999999</v>
      </c>
      <c r="J555" s="5">
        <v>38812000</v>
      </c>
      <c r="K555" s="5">
        <v>125.49606319999999</v>
      </c>
    </row>
    <row r="556" spans="1:11">
      <c r="A556" s="4">
        <v>44636</v>
      </c>
      <c r="B556" s="5">
        <f t="shared" si="32"/>
        <v>16</v>
      </c>
      <c r="C556" s="5">
        <f t="shared" si="33"/>
        <v>3</v>
      </c>
      <c r="D556" s="5">
        <f t="shared" si="34"/>
        <v>2022</v>
      </c>
      <c r="E556" s="5" t="str">
        <f t="shared" si="35"/>
        <v>Q1</v>
      </c>
      <c r="F556" s="5">
        <v>126.9759979</v>
      </c>
      <c r="G556" s="5">
        <v>129.85450739999999</v>
      </c>
      <c r="H556" s="5">
        <v>125.7204971</v>
      </c>
      <c r="I556" s="5">
        <v>129.19799800000001</v>
      </c>
      <c r="J556" s="5">
        <v>30920000</v>
      </c>
      <c r="K556" s="5">
        <v>128.73132319999999</v>
      </c>
    </row>
    <row r="557" spans="1:11">
      <c r="A557" s="4">
        <v>44637</v>
      </c>
      <c r="B557" s="5">
        <f t="shared" si="32"/>
        <v>17</v>
      </c>
      <c r="C557" s="5">
        <f t="shared" si="33"/>
        <v>3</v>
      </c>
      <c r="D557" s="5">
        <f t="shared" si="34"/>
        <v>2022</v>
      </c>
      <c r="E557" s="5" t="str">
        <f t="shared" si="35"/>
        <v>Q1</v>
      </c>
      <c r="F557" s="5">
        <v>130.73300169999999</v>
      </c>
      <c r="G557" s="5">
        <v>133.33299260000001</v>
      </c>
      <c r="H557" s="5">
        <v>128.7344971</v>
      </c>
      <c r="I557" s="5">
        <v>133.28050229999999</v>
      </c>
      <c r="J557" s="5">
        <v>35576000</v>
      </c>
      <c r="K557" s="5">
        <v>132.79908750000001</v>
      </c>
    </row>
    <row r="558" spans="1:11">
      <c r="A558" s="4">
        <v>44638</v>
      </c>
      <c r="B558" s="5">
        <f t="shared" si="32"/>
        <v>18</v>
      </c>
      <c r="C558" s="5">
        <f t="shared" si="33"/>
        <v>3</v>
      </c>
      <c r="D558" s="5">
        <f t="shared" si="34"/>
        <v>2022</v>
      </c>
      <c r="E558" s="5" t="str">
        <f t="shared" si="35"/>
        <v>Q1</v>
      </c>
      <c r="F558" s="5">
        <v>133.14900209999999</v>
      </c>
      <c r="G558" s="5">
        <v>134.08050539999999</v>
      </c>
      <c r="H558" s="5">
        <v>132.1849976</v>
      </c>
      <c r="I558" s="5">
        <v>133.83900449999999</v>
      </c>
      <c r="J558" s="5">
        <v>28264000</v>
      </c>
      <c r="K558" s="5">
        <v>133.35559079999999</v>
      </c>
    </row>
    <row r="559" spans="1:11">
      <c r="A559" s="4">
        <v>44641</v>
      </c>
      <c r="B559" s="5">
        <f t="shared" si="32"/>
        <v>21</v>
      </c>
      <c r="C559" s="5">
        <f t="shared" si="33"/>
        <v>3</v>
      </c>
      <c r="D559" s="5">
        <f t="shared" si="34"/>
        <v>2022</v>
      </c>
      <c r="E559" s="5" t="str">
        <f t="shared" si="35"/>
        <v>Q1</v>
      </c>
      <c r="F559" s="5">
        <v>133.4244995</v>
      </c>
      <c r="G559" s="5">
        <v>136.2440033</v>
      </c>
      <c r="H559" s="5">
        <v>132.25849909999999</v>
      </c>
      <c r="I559" s="5">
        <v>136.12550350000001</v>
      </c>
      <c r="J559" s="5">
        <v>44566000</v>
      </c>
      <c r="K559" s="5">
        <v>135.63380430000001</v>
      </c>
    </row>
    <row r="560" spans="1:11">
      <c r="A560" s="4">
        <v>44642</v>
      </c>
      <c r="B560" s="5">
        <f t="shared" si="32"/>
        <v>22</v>
      </c>
      <c r="C560" s="5">
        <f t="shared" si="33"/>
        <v>3</v>
      </c>
      <c r="D560" s="5">
        <f t="shared" si="34"/>
        <v>2022</v>
      </c>
      <c r="E560" s="5" t="str">
        <f t="shared" si="35"/>
        <v>Q1</v>
      </c>
      <c r="F560" s="5">
        <v>136.16349790000001</v>
      </c>
      <c r="G560" s="5">
        <v>137.0500031</v>
      </c>
      <c r="H560" s="5">
        <v>134.09249879999999</v>
      </c>
      <c r="I560" s="5">
        <v>136.10150150000001</v>
      </c>
      <c r="J560" s="5">
        <v>26832000</v>
      </c>
      <c r="K560" s="5">
        <v>135.60989380000001</v>
      </c>
    </row>
    <row r="561" spans="1:11">
      <c r="A561" s="4">
        <v>44643</v>
      </c>
      <c r="B561" s="5">
        <f t="shared" si="32"/>
        <v>23</v>
      </c>
      <c r="C561" s="5">
        <f t="shared" si="33"/>
        <v>3</v>
      </c>
      <c r="D561" s="5">
        <f t="shared" si="34"/>
        <v>2022</v>
      </c>
      <c r="E561" s="5" t="str">
        <f t="shared" si="35"/>
        <v>Q1</v>
      </c>
      <c r="F561" s="5">
        <v>136.10150150000001</v>
      </c>
      <c r="G561" s="5">
        <v>141.0500031</v>
      </c>
      <c r="H561" s="5">
        <v>136.10150150000001</v>
      </c>
      <c r="I561" s="5">
        <v>139.86799619999999</v>
      </c>
      <c r="J561" s="5">
        <v>35496000</v>
      </c>
      <c r="K561" s="5">
        <v>139.36280819999999</v>
      </c>
    </row>
    <row r="562" spans="1:11">
      <c r="A562" s="4">
        <v>44644</v>
      </c>
      <c r="B562" s="5">
        <f t="shared" si="32"/>
        <v>24</v>
      </c>
      <c r="C562" s="5">
        <f t="shared" si="33"/>
        <v>3</v>
      </c>
      <c r="D562" s="5">
        <f t="shared" si="34"/>
        <v>2022</v>
      </c>
      <c r="E562" s="5" t="str">
        <f t="shared" si="35"/>
        <v>Q1</v>
      </c>
      <c r="F562" s="5">
        <v>138.70249939999999</v>
      </c>
      <c r="G562" s="5">
        <v>139.58850100000001</v>
      </c>
      <c r="H562" s="5">
        <v>137.83500670000001</v>
      </c>
      <c r="I562" s="5">
        <v>138.27549740000001</v>
      </c>
      <c r="J562" s="5">
        <v>25154000</v>
      </c>
      <c r="K562" s="5">
        <v>137.77604679999999</v>
      </c>
    </row>
    <row r="563" spans="1:11">
      <c r="A563" s="4">
        <v>44645</v>
      </c>
      <c r="B563" s="5">
        <f t="shared" si="32"/>
        <v>25</v>
      </c>
      <c r="C563" s="5">
        <f t="shared" si="33"/>
        <v>3</v>
      </c>
      <c r="D563" s="5">
        <f t="shared" si="34"/>
        <v>2022</v>
      </c>
      <c r="E563" s="5" t="str">
        <f t="shared" si="35"/>
        <v>Q1</v>
      </c>
      <c r="F563" s="5">
        <v>139.1999969</v>
      </c>
      <c r="G563" s="5">
        <v>141.6190033</v>
      </c>
      <c r="H563" s="5">
        <v>137.75050350000001</v>
      </c>
      <c r="I563" s="5">
        <v>141.5720062</v>
      </c>
      <c r="J563" s="5">
        <v>26396000</v>
      </c>
      <c r="K563" s="5">
        <v>141.06065369999999</v>
      </c>
    </row>
    <row r="564" spans="1:11">
      <c r="A564" s="4">
        <v>44648</v>
      </c>
      <c r="B564" s="5">
        <f t="shared" si="32"/>
        <v>28</v>
      </c>
      <c r="C564" s="5">
        <f t="shared" si="33"/>
        <v>3</v>
      </c>
      <c r="D564" s="5">
        <f t="shared" si="34"/>
        <v>2022</v>
      </c>
      <c r="E564" s="5" t="str">
        <f t="shared" si="35"/>
        <v>Q1</v>
      </c>
      <c r="F564" s="5">
        <v>141.9160004</v>
      </c>
      <c r="G564" s="5">
        <v>142.0350037</v>
      </c>
      <c r="H564" s="5">
        <v>139.7375031</v>
      </c>
      <c r="I564" s="5">
        <v>141.67300420000001</v>
      </c>
      <c r="J564" s="5">
        <v>24126000</v>
      </c>
      <c r="K564" s="5">
        <v>141.1612854</v>
      </c>
    </row>
    <row r="565" spans="1:11">
      <c r="A565" s="4">
        <v>44649</v>
      </c>
      <c r="B565" s="5">
        <f t="shared" si="32"/>
        <v>29</v>
      </c>
      <c r="C565" s="5">
        <f t="shared" si="33"/>
        <v>3</v>
      </c>
      <c r="D565" s="5">
        <f t="shared" si="34"/>
        <v>2022</v>
      </c>
      <c r="E565" s="5" t="str">
        <f t="shared" si="35"/>
        <v>Q1</v>
      </c>
      <c r="F565" s="5">
        <v>140.90049740000001</v>
      </c>
      <c r="G565" s="5">
        <v>142.0025024</v>
      </c>
      <c r="H565" s="5">
        <v>139.81149289999999</v>
      </c>
      <c r="I565" s="5">
        <v>141.45550539999999</v>
      </c>
      <c r="J565" s="5">
        <v>35050000</v>
      </c>
      <c r="K565" s="5">
        <v>140.9445801</v>
      </c>
    </row>
    <row r="566" spans="1:11">
      <c r="A566" s="4">
        <v>44650</v>
      </c>
      <c r="B566" s="5">
        <f t="shared" si="32"/>
        <v>30</v>
      </c>
      <c r="C566" s="5">
        <f t="shared" si="33"/>
        <v>3</v>
      </c>
      <c r="D566" s="5">
        <f t="shared" si="34"/>
        <v>2022</v>
      </c>
      <c r="E566" s="5" t="str">
        <f t="shared" si="35"/>
        <v>Q1</v>
      </c>
      <c r="F566" s="5">
        <v>142.64750670000001</v>
      </c>
      <c r="G566" s="5">
        <v>143.7935028</v>
      </c>
      <c r="H566" s="5">
        <v>142.03849790000001</v>
      </c>
      <c r="I566" s="5">
        <v>142.50549319999999</v>
      </c>
      <c r="J566" s="5">
        <v>34318000</v>
      </c>
      <c r="K566" s="5">
        <v>141.99076840000001</v>
      </c>
    </row>
    <row r="567" spans="1:11">
      <c r="A567" s="4">
        <v>44651</v>
      </c>
      <c r="B567" s="5">
        <f t="shared" si="32"/>
        <v>31</v>
      </c>
      <c r="C567" s="5">
        <f t="shared" si="33"/>
        <v>3</v>
      </c>
      <c r="D567" s="5">
        <f t="shared" si="34"/>
        <v>2022</v>
      </c>
      <c r="E567" s="5" t="str">
        <f t="shared" si="35"/>
        <v>Q1</v>
      </c>
      <c r="F567" s="5">
        <v>142.46000670000001</v>
      </c>
      <c r="G567" s="5">
        <v>142.72050479999999</v>
      </c>
      <c r="H567" s="5">
        <v>141.6000061</v>
      </c>
      <c r="I567" s="5">
        <v>141.93850710000001</v>
      </c>
      <c r="J567" s="5">
        <v>19884000</v>
      </c>
      <c r="K567" s="5">
        <v>141.425827</v>
      </c>
    </row>
    <row r="568" spans="1:11" hidden="1">
      <c r="A568" s="4">
        <v>44652</v>
      </c>
      <c r="B568" s="5">
        <f t="shared" si="32"/>
        <v>1</v>
      </c>
      <c r="C568" s="5">
        <f t="shared" si="33"/>
        <v>4</v>
      </c>
      <c r="D568" s="5">
        <f t="shared" si="34"/>
        <v>2022</v>
      </c>
      <c r="E568" s="5" t="str">
        <f t="shared" si="35"/>
        <v>Q2</v>
      </c>
      <c r="F568" s="5">
        <v>142.0529938</v>
      </c>
      <c r="G568" s="5">
        <v>142.10800169999999</v>
      </c>
      <c r="H568" s="5">
        <v>139.0245056</v>
      </c>
      <c r="I568" s="5">
        <v>139.06750489999999</v>
      </c>
      <c r="J568" s="5">
        <v>37524000</v>
      </c>
      <c r="K568" s="5">
        <v>138.56520080000001</v>
      </c>
    </row>
    <row r="569" spans="1:11" hidden="1">
      <c r="A569" s="4">
        <v>44655</v>
      </c>
      <c r="B569" s="5">
        <f t="shared" si="32"/>
        <v>4</v>
      </c>
      <c r="C569" s="5">
        <f t="shared" si="33"/>
        <v>4</v>
      </c>
      <c r="D569" s="5">
        <f t="shared" si="34"/>
        <v>2022</v>
      </c>
      <c r="E569" s="5" t="str">
        <f t="shared" si="35"/>
        <v>Q2</v>
      </c>
      <c r="F569" s="5">
        <v>139.5</v>
      </c>
      <c r="G569" s="5">
        <v>140.47099299999999</v>
      </c>
      <c r="H569" s="5">
        <v>138.30749510000001</v>
      </c>
      <c r="I569" s="5">
        <v>140.15049740000001</v>
      </c>
      <c r="J569" s="5">
        <v>25942000</v>
      </c>
      <c r="K569" s="5">
        <v>139.64427190000001</v>
      </c>
    </row>
    <row r="570" spans="1:11" hidden="1">
      <c r="A570" s="4">
        <v>44656</v>
      </c>
      <c r="B570" s="5">
        <f t="shared" si="32"/>
        <v>5</v>
      </c>
      <c r="C570" s="5">
        <f t="shared" si="33"/>
        <v>4</v>
      </c>
      <c r="D570" s="5">
        <f t="shared" si="34"/>
        <v>2022</v>
      </c>
      <c r="E570" s="5" t="str">
        <f t="shared" si="35"/>
        <v>Q2</v>
      </c>
      <c r="F570" s="5">
        <v>140.3585052</v>
      </c>
      <c r="G570" s="5">
        <v>143.7120056</v>
      </c>
      <c r="H570" s="5">
        <v>140.31050110000001</v>
      </c>
      <c r="I570" s="5">
        <v>142.97149659999999</v>
      </c>
      <c r="J570" s="5">
        <v>25942000</v>
      </c>
      <c r="K570" s="5">
        <v>142.45507810000001</v>
      </c>
    </row>
    <row r="571" spans="1:11" hidden="1">
      <c r="A571" s="4">
        <v>44657</v>
      </c>
      <c r="B571" s="5">
        <f t="shared" si="32"/>
        <v>6</v>
      </c>
      <c r="C571" s="5">
        <f t="shared" si="33"/>
        <v>4</v>
      </c>
      <c r="D571" s="5">
        <f t="shared" si="34"/>
        <v>2022</v>
      </c>
      <c r="E571" s="5" t="str">
        <f t="shared" si="35"/>
        <v>Q2</v>
      </c>
      <c r="F571" s="5">
        <v>142.8690033</v>
      </c>
      <c r="G571" s="5">
        <v>142.9904938</v>
      </c>
      <c r="H571" s="5">
        <v>140.38250729999999</v>
      </c>
      <c r="I571" s="5">
        <v>140.59100340000001</v>
      </c>
      <c r="J571" s="5">
        <v>21418000</v>
      </c>
      <c r="K571" s="5">
        <v>140.08319090000001</v>
      </c>
    </row>
    <row r="572" spans="1:11" hidden="1">
      <c r="A572" s="4">
        <v>44658</v>
      </c>
      <c r="B572" s="5">
        <f t="shared" si="32"/>
        <v>7</v>
      </c>
      <c r="C572" s="5">
        <f t="shared" si="33"/>
        <v>4</v>
      </c>
      <c r="D572" s="5">
        <f t="shared" si="34"/>
        <v>2022</v>
      </c>
      <c r="E572" s="5" t="str">
        <f t="shared" si="35"/>
        <v>Q2</v>
      </c>
      <c r="F572" s="5">
        <v>138.75</v>
      </c>
      <c r="G572" s="5">
        <v>139.36050420000001</v>
      </c>
      <c r="H572" s="5">
        <v>135.51699830000001</v>
      </c>
      <c r="I572" s="5">
        <v>136.54800420000001</v>
      </c>
      <c r="J572" s="5">
        <v>32468000</v>
      </c>
      <c r="K572" s="5">
        <v>136.0548096</v>
      </c>
    </row>
    <row r="573" spans="1:11" hidden="1">
      <c r="A573" s="4">
        <v>44659</v>
      </c>
      <c r="B573" s="5">
        <f t="shared" si="32"/>
        <v>8</v>
      </c>
      <c r="C573" s="5">
        <f t="shared" si="33"/>
        <v>4</v>
      </c>
      <c r="D573" s="5">
        <f t="shared" si="34"/>
        <v>2022</v>
      </c>
      <c r="E573" s="5" t="str">
        <f t="shared" si="35"/>
        <v>Q2</v>
      </c>
      <c r="F573" s="5">
        <v>136.0099945</v>
      </c>
      <c r="G573" s="5">
        <v>137.16450499999999</v>
      </c>
      <c r="H573" s="5">
        <v>134.22749329999999</v>
      </c>
      <c r="I573" s="5">
        <v>135.88850400000001</v>
      </c>
      <c r="J573" s="5">
        <v>26234000</v>
      </c>
      <c r="K573" s="5">
        <v>135.39767459999999</v>
      </c>
    </row>
    <row r="574" spans="1:11" hidden="1">
      <c r="A574" s="4">
        <v>44662</v>
      </c>
      <c r="B574" s="5">
        <f t="shared" si="32"/>
        <v>11</v>
      </c>
      <c r="C574" s="5">
        <f t="shared" si="33"/>
        <v>4</v>
      </c>
      <c r="D574" s="5">
        <f t="shared" si="34"/>
        <v>2022</v>
      </c>
      <c r="E574" s="5" t="str">
        <f t="shared" si="35"/>
        <v>Q2</v>
      </c>
      <c r="F574" s="5">
        <v>135.58349609999999</v>
      </c>
      <c r="G574" s="5">
        <v>135.66999820000001</v>
      </c>
      <c r="H574" s="5">
        <v>132.9654999</v>
      </c>
      <c r="I574" s="5">
        <v>133.2875061</v>
      </c>
      <c r="J574" s="5">
        <v>25142000</v>
      </c>
      <c r="K574" s="5">
        <v>132.80607599999999</v>
      </c>
    </row>
    <row r="575" spans="1:11" hidden="1">
      <c r="A575" s="4">
        <v>44663</v>
      </c>
      <c r="B575" s="5">
        <f t="shared" si="32"/>
        <v>12</v>
      </c>
      <c r="C575" s="5">
        <f t="shared" si="33"/>
        <v>4</v>
      </c>
      <c r="D575" s="5">
        <f t="shared" si="34"/>
        <v>2022</v>
      </c>
      <c r="E575" s="5" t="str">
        <f t="shared" si="35"/>
        <v>Q2</v>
      </c>
      <c r="F575" s="5">
        <v>131.82350159999999</v>
      </c>
      <c r="G575" s="5">
        <v>132.09249879999999</v>
      </c>
      <c r="H575" s="5">
        <v>128.6685028</v>
      </c>
      <c r="I575" s="5">
        <v>128.82350159999999</v>
      </c>
      <c r="J575" s="5">
        <v>36884000</v>
      </c>
      <c r="K575" s="5">
        <v>128.3582001</v>
      </c>
    </row>
    <row r="576" spans="1:11" hidden="1">
      <c r="A576" s="4">
        <v>44664</v>
      </c>
      <c r="B576" s="5">
        <f t="shared" si="32"/>
        <v>13</v>
      </c>
      <c r="C576" s="5">
        <f t="shared" si="33"/>
        <v>4</v>
      </c>
      <c r="D576" s="5">
        <f t="shared" si="34"/>
        <v>2022</v>
      </c>
      <c r="E576" s="5" t="str">
        <f t="shared" si="35"/>
        <v>Q2</v>
      </c>
      <c r="F576" s="5">
        <v>131.6000061</v>
      </c>
      <c r="G576" s="5">
        <v>131.6000061</v>
      </c>
      <c r="H576" s="5">
        <v>126.7890015</v>
      </c>
      <c r="I576" s="5">
        <v>127.71450040000001</v>
      </c>
      <c r="J576" s="5">
        <v>32710000</v>
      </c>
      <c r="K576" s="5">
        <v>127.2531967</v>
      </c>
    </row>
    <row r="577" spans="1:11" hidden="1">
      <c r="A577" s="4">
        <v>44665</v>
      </c>
      <c r="B577" s="5">
        <f t="shared" si="32"/>
        <v>14</v>
      </c>
      <c r="C577" s="5">
        <f t="shared" si="33"/>
        <v>4</v>
      </c>
      <c r="D577" s="5">
        <f t="shared" si="34"/>
        <v>2022</v>
      </c>
      <c r="E577" s="5" t="str">
        <f t="shared" si="35"/>
        <v>Q2</v>
      </c>
      <c r="F577" s="5">
        <v>128</v>
      </c>
      <c r="G577" s="5">
        <v>130.3339996</v>
      </c>
      <c r="H577" s="5">
        <v>127.7409973</v>
      </c>
      <c r="I577" s="5">
        <v>129.8939972</v>
      </c>
      <c r="J577" s="5">
        <v>27928000</v>
      </c>
      <c r="K577" s="5">
        <v>129.42481989999999</v>
      </c>
    </row>
    <row r="578" spans="1:11" hidden="1">
      <c r="A578" s="4">
        <v>44669</v>
      </c>
      <c r="B578" s="5">
        <f t="shared" ref="B578:B641" si="36">DAY(A578)</f>
        <v>18</v>
      </c>
      <c r="C578" s="5">
        <f t="shared" ref="C578:C641" si="37">MONTH(A578)</f>
        <v>4</v>
      </c>
      <c r="D578" s="5">
        <f t="shared" ref="D578:D641" si="38">YEAR(A578)</f>
        <v>2022</v>
      </c>
      <c r="E578" s="5" t="str">
        <f t="shared" ref="E578:E641" si="39">"Q"&amp;ROUNDUP(MONTH(A578)/3,0)</f>
        <v>Q2</v>
      </c>
      <c r="F578" s="5">
        <v>130.47950739999999</v>
      </c>
      <c r="G578" s="5">
        <v>130.47950739999999</v>
      </c>
      <c r="H578" s="5">
        <v>126.6009979</v>
      </c>
      <c r="I578" s="5">
        <v>126.7300034</v>
      </c>
      <c r="J578" s="5">
        <v>31598000</v>
      </c>
      <c r="K578" s="5">
        <v>126.2722626</v>
      </c>
    </row>
    <row r="579" spans="1:11" hidden="1">
      <c r="A579" s="4">
        <v>44670</v>
      </c>
      <c r="B579" s="5">
        <f t="shared" si="36"/>
        <v>19</v>
      </c>
      <c r="C579" s="5">
        <f t="shared" si="37"/>
        <v>4</v>
      </c>
      <c r="D579" s="5">
        <f t="shared" si="38"/>
        <v>2022</v>
      </c>
      <c r="E579" s="5" t="str">
        <f t="shared" si="39"/>
        <v>Q2</v>
      </c>
      <c r="F579" s="5">
        <v>127</v>
      </c>
      <c r="G579" s="5">
        <v>128.2124939</v>
      </c>
      <c r="H579" s="5">
        <v>126.18199920000001</v>
      </c>
      <c r="I579" s="5">
        <v>127.6764984</v>
      </c>
      <c r="J579" s="5">
        <v>20808000</v>
      </c>
      <c r="K579" s="5">
        <v>127.2153397</v>
      </c>
    </row>
    <row r="580" spans="1:11" hidden="1">
      <c r="A580" s="4">
        <v>44671</v>
      </c>
      <c r="B580" s="5">
        <f t="shared" si="36"/>
        <v>20</v>
      </c>
      <c r="C580" s="5">
        <f t="shared" si="37"/>
        <v>4</v>
      </c>
      <c r="D580" s="5">
        <f t="shared" si="38"/>
        <v>2022</v>
      </c>
      <c r="E580" s="5" t="str">
        <f t="shared" si="39"/>
        <v>Q2</v>
      </c>
      <c r="F580" s="5">
        <v>127.69149779999999</v>
      </c>
      <c r="G580" s="5">
        <v>130.33299260000001</v>
      </c>
      <c r="H580" s="5">
        <v>126.99949650000001</v>
      </c>
      <c r="I580" s="5">
        <v>130.0090027</v>
      </c>
      <c r="J580" s="5">
        <v>26490000</v>
      </c>
      <c r="K580" s="5">
        <v>129.53941349999999</v>
      </c>
    </row>
    <row r="581" spans="1:11" hidden="1">
      <c r="A581" s="4">
        <v>44672</v>
      </c>
      <c r="B581" s="5">
        <f t="shared" si="36"/>
        <v>21</v>
      </c>
      <c r="C581" s="5">
        <f t="shared" si="37"/>
        <v>4</v>
      </c>
      <c r="D581" s="5">
        <f t="shared" si="38"/>
        <v>2022</v>
      </c>
      <c r="E581" s="5" t="str">
        <f t="shared" si="39"/>
        <v>Q2</v>
      </c>
      <c r="F581" s="5">
        <v>130.89199830000001</v>
      </c>
      <c r="G581" s="5">
        <v>131.39900209999999</v>
      </c>
      <c r="H581" s="5">
        <v>127.5</v>
      </c>
      <c r="I581" s="5">
        <v>128.03999329999999</v>
      </c>
      <c r="J581" s="5">
        <v>31696000</v>
      </c>
      <c r="K581" s="5">
        <v>127.5775146</v>
      </c>
    </row>
    <row r="582" spans="1:11" hidden="1">
      <c r="A582" s="4">
        <v>44673</v>
      </c>
      <c r="B582" s="5">
        <f t="shared" si="36"/>
        <v>22</v>
      </c>
      <c r="C582" s="5">
        <f t="shared" si="37"/>
        <v>4</v>
      </c>
      <c r="D582" s="5">
        <f t="shared" si="38"/>
        <v>2022</v>
      </c>
      <c r="E582" s="5" t="str">
        <f t="shared" si="39"/>
        <v>Q2</v>
      </c>
      <c r="F582" s="5">
        <v>129.25</v>
      </c>
      <c r="G582" s="5">
        <v>130.09849550000001</v>
      </c>
      <c r="H582" s="5">
        <v>124.5264969</v>
      </c>
      <c r="I582" s="5">
        <v>124.8144989</v>
      </c>
      <c r="J582" s="5">
        <v>36446000</v>
      </c>
      <c r="K582" s="5">
        <v>124.3636703</v>
      </c>
    </row>
    <row r="583" spans="1:11" hidden="1">
      <c r="A583" s="4">
        <v>44676</v>
      </c>
      <c r="B583" s="5">
        <f t="shared" si="36"/>
        <v>25</v>
      </c>
      <c r="C583" s="5">
        <f t="shared" si="37"/>
        <v>4</v>
      </c>
      <c r="D583" s="5">
        <f t="shared" si="38"/>
        <v>2022</v>
      </c>
      <c r="E583" s="5" t="str">
        <f t="shared" si="39"/>
        <v>Q2</v>
      </c>
      <c r="F583" s="5">
        <v>125</v>
      </c>
      <c r="G583" s="5">
        <v>125.40200040000001</v>
      </c>
      <c r="H583" s="5">
        <v>118.9250031</v>
      </c>
      <c r="I583" s="5">
        <v>119.635498</v>
      </c>
      <c r="J583" s="5">
        <v>56884000</v>
      </c>
      <c r="K583" s="5">
        <v>119.2033768</v>
      </c>
    </row>
    <row r="584" spans="1:11" hidden="1">
      <c r="A584" s="4">
        <v>44677</v>
      </c>
      <c r="B584" s="5">
        <f t="shared" si="36"/>
        <v>26</v>
      </c>
      <c r="C584" s="5">
        <f t="shared" si="37"/>
        <v>4</v>
      </c>
      <c r="D584" s="5">
        <f t="shared" si="38"/>
        <v>2022</v>
      </c>
      <c r="E584" s="5" t="str">
        <f t="shared" si="39"/>
        <v>Q2</v>
      </c>
      <c r="F584" s="5">
        <v>119.1009979</v>
      </c>
      <c r="G584" s="5">
        <v>123.2774963</v>
      </c>
      <c r="H584" s="5">
        <v>118.5110016</v>
      </c>
      <c r="I584" s="5">
        <v>123.0739975</v>
      </c>
      <c r="J584" s="5">
        <v>46128000</v>
      </c>
      <c r="K584" s="5">
        <v>122.6294556</v>
      </c>
    </row>
    <row r="585" spans="1:11" hidden="1">
      <c r="A585" s="4">
        <v>44678</v>
      </c>
      <c r="B585" s="5">
        <f t="shared" si="36"/>
        <v>27</v>
      </c>
      <c r="C585" s="5">
        <f t="shared" si="37"/>
        <v>4</v>
      </c>
      <c r="D585" s="5">
        <f t="shared" si="38"/>
        <v>2022</v>
      </c>
      <c r="E585" s="5" t="str">
        <f t="shared" si="39"/>
        <v>Q2</v>
      </c>
      <c r="F585" s="5">
        <v>122.2945023</v>
      </c>
      <c r="G585" s="5">
        <v>122.51000209999999</v>
      </c>
      <c r="H585" s="5">
        <v>118.5110016</v>
      </c>
      <c r="I585" s="5">
        <v>118.6500015</v>
      </c>
      <c r="J585" s="5">
        <v>73054000</v>
      </c>
      <c r="K585" s="5">
        <v>118.2214432</v>
      </c>
    </row>
    <row r="586" spans="1:11" hidden="1">
      <c r="A586" s="4">
        <v>44679</v>
      </c>
      <c r="B586" s="5">
        <f t="shared" si="36"/>
        <v>28</v>
      </c>
      <c r="C586" s="5">
        <f t="shared" si="37"/>
        <v>4</v>
      </c>
      <c r="D586" s="5">
        <f t="shared" si="38"/>
        <v>2022</v>
      </c>
      <c r="E586" s="5" t="str">
        <f t="shared" si="39"/>
        <v>Q2</v>
      </c>
      <c r="F586" s="5">
        <v>114.46949770000001</v>
      </c>
      <c r="G586" s="5">
        <v>117.2419968</v>
      </c>
      <c r="H586" s="5">
        <v>112.73650360000001</v>
      </c>
      <c r="I586" s="5">
        <v>114.2945023</v>
      </c>
      <c r="J586" s="5">
        <v>91820000</v>
      </c>
      <c r="K586" s="5">
        <v>113.8816681</v>
      </c>
    </row>
    <row r="587" spans="1:11" hidden="1">
      <c r="A587" s="4">
        <v>44680</v>
      </c>
      <c r="B587" s="5">
        <f t="shared" si="36"/>
        <v>29</v>
      </c>
      <c r="C587" s="5">
        <f t="shared" si="37"/>
        <v>4</v>
      </c>
      <c r="D587" s="5">
        <f t="shared" si="38"/>
        <v>2022</v>
      </c>
      <c r="E587" s="5" t="str">
        <f t="shared" si="39"/>
        <v>Q2</v>
      </c>
      <c r="F587" s="5">
        <v>116.4150009</v>
      </c>
      <c r="G587" s="5">
        <v>119.64949799999999</v>
      </c>
      <c r="H587" s="5">
        <v>114.11499790000001</v>
      </c>
      <c r="I587" s="5">
        <v>118.5224991</v>
      </c>
      <c r="J587" s="5">
        <v>48884000</v>
      </c>
      <c r="K587" s="5">
        <v>118.0943985</v>
      </c>
    </row>
    <row r="588" spans="1:11" hidden="1">
      <c r="A588" s="4">
        <v>44683</v>
      </c>
      <c r="B588" s="5">
        <f t="shared" si="36"/>
        <v>2</v>
      </c>
      <c r="C588" s="5">
        <f t="shared" si="37"/>
        <v>5</v>
      </c>
      <c r="D588" s="5">
        <f t="shared" si="38"/>
        <v>2022</v>
      </c>
      <c r="E588" s="5" t="str">
        <f t="shared" si="39"/>
        <v>Q2</v>
      </c>
      <c r="F588" s="5">
        <v>116.7344971</v>
      </c>
      <c r="G588" s="5">
        <v>117.91999819999999</v>
      </c>
      <c r="H588" s="5">
        <v>113.8144989</v>
      </c>
      <c r="I588" s="5">
        <v>114.1094971</v>
      </c>
      <c r="J588" s="5">
        <v>42676000</v>
      </c>
      <c r="K588" s="5">
        <v>113.6973267</v>
      </c>
    </row>
    <row r="589" spans="1:11" hidden="1">
      <c r="A589" s="4">
        <v>44684</v>
      </c>
      <c r="B589" s="5">
        <f t="shared" si="36"/>
        <v>3</v>
      </c>
      <c r="C589" s="5">
        <f t="shared" si="37"/>
        <v>5</v>
      </c>
      <c r="D589" s="5">
        <f t="shared" si="38"/>
        <v>2022</v>
      </c>
      <c r="E589" s="5" t="str">
        <f t="shared" si="39"/>
        <v>Q2</v>
      </c>
      <c r="F589" s="5">
        <v>113.4049988</v>
      </c>
      <c r="G589" s="5">
        <v>116.7454987</v>
      </c>
      <c r="H589" s="5">
        <v>112.5999985</v>
      </c>
      <c r="I589" s="5">
        <v>116.5830002</v>
      </c>
      <c r="J589" s="5">
        <v>35534000</v>
      </c>
      <c r="K589" s="5">
        <v>116.1619034</v>
      </c>
    </row>
    <row r="590" spans="1:11" hidden="1">
      <c r="A590" s="4">
        <v>44685</v>
      </c>
      <c r="B590" s="5">
        <f t="shared" si="36"/>
        <v>4</v>
      </c>
      <c r="C590" s="5">
        <f t="shared" si="37"/>
        <v>5</v>
      </c>
      <c r="D590" s="5">
        <f t="shared" si="38"/>
        <v>2022</v>
      </c>
      <c r="E590" s="5" t="str">
        <f t="shared" si="39"/>
        <v>Q2</v>
      </c>
      <c r="F590" s="5">
        <v>116.43049619999999</v>
      </c>
      <c r="G590" s="5">
        <v>118.4420013</v>
      </c>
      <c r="H590" s="5">
        <v>116.0345001</v>
      </c>
      <c r="I590" s="5">
        <v>117.3339996</v>
      </c>
      <c r="J590" s="5">
        <v>24968000</v>
      </c>
      <c r="K590" s="5">
        <v>116.91018680000001</v>
      </c>
    </row>
    <row r="591" spans="1:11" hidden="1">
      <c r="A591" s="4">
        <v>44686</v>
      </c>
      <c r="B591" s="5">
        <f t="shared" si="36"/>
        <v>5</v>
      </c>
      <c r="C591" s="5">
        <f t="shared" si="37"/>
        <v>5</v>
      </c>
      <c r="D591" s="5">
        <f t="shared" si="38"/>
        <v>2022</v>
      </c>
      <c r="E591" s="5" t="str">
        <f t="shared" si="39"/>
        <v>Q2</v>
      </c>
      <c r="F591" s="5">
        <v>117.0315018</v>
      </c>
      <c r="G591" s="5">
        <v>122.8544998</v>
      </c>
      <c r="H591" s="5">
        <v>115.1159973</v>
      </c>
      <c r="I591" s="5">
        <v>122.2610016</v>
      </c>
      <c r="J591" s="5">
        <v>49916000</v>
      </c>
      <c r="K591" s="5">
        <v>121.819397</v>
      </c>
    </row>
    <row r="592" spans="1:11" hidden="1">
      <c r="A592" s="4">
        <v>44687</v>
      </c>
      <c r="B592" s="5">
        <f t="shared" si="36"/>
        <v>6</v>
      </c>
      <c r="C592" s="5">
        <f t="shared" si="37"/>
        <v>5</v>
      </c>
      <c r="D592" s="5">
        <f t="shared" si="38"/>
        <v>2022</v>
      </c>
      <c r="E592" s="5" t="str">
        <f t="shared" si="39"/>
        <v>Q2</v>
      </c>
      <c r="F592" s="5">
        <v>120.20400239999999</v>
      </c>
      <c r="G592" s="5">
        <v>121.0390015</v>
      </c>
      <c r="H592" s="5">
        <v>115.00550079999999</v>
      </c>
      <c r="I592" s="5">
        <v>116.50550079999999</v>
      </c>
      <c r="J592" s="5">
        <v>45840000</v>
      </c>
      <c r="K592" s="5">
        <v>116.0846863</v>
      </c>
    </row>
    <row r="593" spans="1:11" hidden="1">
      <c r="A593" s="4">
        <v>44690</v>
      </c>
      <c r="B593" s="5">
        <f t="shared" si="36"/>
        <v>9</v>
      </c>
      <c r="C593" s="5">
        <f t="shared" si="37"/>
        <v>5</v>
      </c>
      <c r="D593" s="5">
        <f t="shared" si="38"/>
        <v>2022</v>
      </c>
      <c r="E593" s="5" t="str">
        <f t="shared" si="39"/>
        <v>Q2</v>
      </c>
      <c r="F593" s="5">
        <v>115.1845016</v>
      </c>
      <c r="G593" s="5">
        <v>117.5715027</v>
      </c>
      <c r="H593" s="5">
        <v>114.0155029</v>
      </c>
      <c r="I593" s="5">
        <v>115.7464981</v>
      </c>
      <c r="J593" s="5">
        <v>39710000</v>
      </c>
      <c r="K593" s="5">
        <v>115.3284225</v>
      </c>
    </row>
    <row r="594" spans="1:11" hidden="1">
      <c r="A594" s="4">
        <v>44691</v>
      </c>
      <c r="B594" s="5">
        <f t="shared" si="36"/>
        <v>10</v>
      </c>
      <c r="C594" s="5">
        <f t="shared" si="37"/>
        <v>5</v>
      </c>
      <c r="D594" s="5">
        <f t="shared" si="38"/>
        <v>2022</v>
      </c>
      <c r="E594" s="5" t="str">
        <f t="shared" si="39"/>
        <v>Q2</v>
      </c>
      <c r="F594" s="5">
        <v>113.25</v>
      </c>
      <c r="G594" s="5">
        <v>115.0770035</v>
      </c>
      <c r="H594" s="5">
        <v>112.00050349999999</v>
      </c>
      <c r="I594" s="5">
        <v>112.5110016</v>
      </c>
      <c r="J594" s="5">
        <v>40802000</v>
      </c>
      <c r="K594" s="5">
        <v>112.10461429999999</v>
      </c>
    </row>
    <row r="595" spans="1:11" hidden="1">
      <c r="A595" s="4">
        <v>44692</v>
      </c>
      <c r="B595" s="5">
        <f t="shared" si="36"/>
        <v>11</v>
      </c>
      <c r="C595" s="5">
        <f t="shared" si="37"/>
        <v>5</v>
      </c>
      <c r="D595" s="5">
        <f t="shared" si="38"/>
        <v>2022</v>
      </c>
      <c r="E595" s="5" t="str">
        <f t="shared" si="39"/>
        <v>Q2</v>
      </c>
      <c r="F595" s="5">
        <v>115.5074997</v>
      </c>
      <c r="G595" s="5">
        <v>116.25</v>
      </c>
      <c r="H595" s="5">
        <v>112.90049740000001</v>
      </c>
      <c r="I595" s="5">
        <v>114.3949966</v>
      </c>
      <c r="J595" s="5">
        <v>39900000</v>
      </c>
      <c r="K595" s="5">
        <v>113.9818039</v>
      </c>
    </row>
    <row r="596" spans="1:11" hidden="1">
      <c r="A596" s="4">
        <v>44693</v>
      </c>
      <c r="B596" s="5">
        <f t="shared" si="36"/>
        <v>12</v>
      </c>
      <c r="C596" s="5">
        <f t="shared" si="37"/>
        <v>5</v>
      </c>
      <c r="D596" s="5">
        <f t="shared" si="38"/>
        <v>2022</v>
      </c>
      <c r="E596" s="5" t="str">
        <f t="shared" si="39"/>
        <v>Q2</v>
      </c>
      <c r="F596" s="5">
        <v>113.23650360000001</v>
      </c>
      <c r="G596" s="5">
        <v>116.364502</v>
      </c>
      <c r="H596" s="5">
        <v>113.23650360000001</v>
      </c>
      <c r="I596" s="5">
        <v>113.6025009</v>
      </c>
      <c r="J596" s="5">
        <v>37534000</v>
      </c>
      <c r="K596" s="5">
        <v>113.19216160000001</v>
      </c>
    </row>
    <row r="597" spans="1:11" hidden="1">
      <c r="A597" s="4">
        <v>44694</v>
      </c>
      <c r="B597" s="5">
        <f t="shared" si="36"/>
        <v>13</v>
      </c>
      <c r="C597" s="5">
        <f t="shared" si="37"/>
        <v>5</v>
      </c>
      <c r="D597" s="5">
        <f t="shared" si="38"/>
        <v>2022</v>
      </c>
      <c r="E597" s="5" t="str">
        <f t="shared" si="39"/>
        <v>Q2</v>
      </c>
      <c r="F597" s="5">
        <v>111.3775024</v>
      </c>
      <c r="G597" s="5">
        <v>114.29499819999999</v>
      </c>
      <c r="H597" s="5">
        <v>109.824501</v>
      </c>
      <c r="I597" s="5">
        <v>112.8440018</v>
      </c>
      <c r="J597" s="5">
        <v>53836000</v>
      </c>
      <c r="K597" s="5">
        <v>112.436409</v>
      </c>
    </row>
    <row r="598" spans="1:11" hidden="1">
      <c r="A598" s="4">
        <v>44697</v>
      </c>
      <c r="B598" s="5">
        <f t="shared" si="36"/>
        <v>16</v>
      </c>
      <c r="C598" s="5">
        <f t="shared" si="37"/>
        <v>5</v>
      </c>
      <c r="D598" s="5">
        <f t="shared" si="38"/>
        <v>2022</v>
      </c>
      <c r="E598" s="5" t="str">
        <f t="shared" si="39"/>
        <v>Q2</v>
      </c>
      <c r="F598" s="5">
        <v>114.5329971</v>
      </c>
      <c r="G598" s="5">
        <v>117.875</v>
      </c>
      <c r="H598" s="5">
        <v>113.6050034</v>
      </c>
      <c r="I598" s="5">
        <v>116.050499</v>
      </c>
      <c r="J598" s="5">
        <v>35038000</v>
      </c>
      <c r="K598" s="5">
        <v>115.63133240000001</v>
      </c>
    </row>
    <row r="599" spans="1:11" hidden="1">
      <c r="A599" s="4">
        <v>44698</v>
      </c>
      <c r="B599" s="5">
        <f t="shared" si="36"/>
        <v>17</v>
      </c>
      <c r="C599" s="5">
        <f t="shared" si="37"/>
        <v>5</v>
      </c>
      <c r="D599" s="5">
        <f t="shared" si="38"/>
        <v>2022</v>
      </c>
      <c r="E599" s="5" t="str">
        <f t="shared" si="39"/>
        <v>Q2</v>
      </c>
      <c r="F599" s="5">
        <v>114.9554977</v>
      </c>
      <c r="G599" s="5">
        <v>116.16999819999999</v>
      </c>
      <c r="H599" s="5">
        <v>113.8895035</v>
      </c>
      <c r="I599" s="5">
        <v>114.4449997</v>
      </c>
      <c r="J599" s="5">
        <v>25990000</v>
      </c>
      <c r="K599" s="5">
        <v>114.03162380000001</v>
      </c>
    </row>
    <row r="600" spans="1:11" hidden="1">
      <c r="A600" s="4">
        <v>44699</v>
      </c>
      <c r="B600" s="5">
        <f t="shared" si="36"/>
        <v>18</v>
      </c>
      <c r="C600" s="5">
        <f t="shared" si="37"/>
        <v>5</v>
      </c>
      <c r="D600" s="5">
        <f t="shared" si="38"/>
        <v>2022</v>
      </c>
      <c r="E600" s="5" t="str">
        <f t="shared" si="39"/>
        <v>Q2</v>
      </c>
      <c r="F600" s="5">
        <v>116.8404999</v>
      </c>
      <c r="G600" s="5">
        <v>116.9000015</v>
      </c>
      <c r="H600" s="5">
        <v>114.8700027</v>
      </c>
      <c r="I600" s="5">
        <v>116.47299959999999</v>
      </c>
      <c r="J600" s="5">
        <v>23054000</v>
      </c>
      <c r="K600" s="5">
        <v>116.0522995</v>
      </c>
    </row>
    <row r="601" spans="1:11" hidden="1">
      <c r="A601" s="4">
        <v>44700</v>
      </c>
      <c r="B601" s="5">
        <f t="shared" si="36"/>
        <v>19</v>
      </c>
      <c r="C601" s="5">
        <f t="shared" si="37"/>
        <v>5</v>
      </c>
      <c r="D601" s="5">
        <f t="shared" si="38"/>
        <v>2022</v>
      </c>
      <c r="E601" s="5" t="str">
        <f t="shared" si="39"/>
        <v>Q2</v>
      </c>
      <c r="F601" s="5">
        <v>115</v>
      </c>
      <c r="G601" s="5">
        <v>115.4000015</v>
      </c>
      <c r="H601" s="5">
        <v>111.55549619999999</v>
      </c>
      <c r="I601" s="5">
        <v>111.89949799999999</v>
      </c>
      <c r="J601" s="5">
        <v>35126000</v>
      </c>
      <c r="K601" s="5">
        <v>111.4953232</v>
      </c>
    </row>
    <row r="602" spans="1:11" hidden="1">
      <c r="A602" s="4">
        <v>44701</v>
      </c>
      <c r="B602" s="5">
        <f t="shared" si="36"/>
        <v>20</v>
      </c>
      <c r="C602" s="5">
        <f t="shared" si="37"/>
        <v>5</v>
      </c>
      <c r="D602" s="5">
        <f t="shared" si="38"/>
        <v>2022</v>
      </c>
      <c r="E602" s="5" t="str">
        <f t="shared" si="39"/>
        <v>Q2</v>
      </c>
      <c r="F602" s="5">
        <v>111.4315033</v>
      </c>
      <c r="G602" s="5">
        <v>113.01000209999999</v>
      </c>
      <c r="H602" s="5">
        <v>110</v>
      </c>
      <c r="I602" s="5">
        <v>110.3840027</v>
      </c>
      <c r="J602" s="5">
        <v>34144000</v>
      </c>
      <c r="K602" s="5">
        <v>109.9852982</v>
      </c>
    </row>
    <row r="603" spans="1:11" hidden="1">
      <c r="A603" s="4">
        <v>44704</v>
      </c>
      <c r="B603" s="5">
        <f t="shared" si="36"/>
        <v>23</v>
      </c>
      <c r="C603" s="5">
        <f t="shared" si="37"/>
        <v>5</v>
      </c>
      <c r="D603" s="5">
        <f t="shared" si="38"/>
        <v>2022</v>
      </c>
      <c r="E603" s="5" t="str">
        <f t="shared" si="39"/>
        <v>Q2</v>
      </c>
      <c r="F603" s="5">
        <v>111.95099639999999</v>
      </c>
      <c r="G603" s="5">
        <v>112.18350220000001</v>
      </c>
      <c r="H603" s="5">
        <v>105.79650119999999</v>
      </c>
      <c r="I603" s="5">
        <v>108.9079971</v>
      </c>
      <c r="J603" s="5">
        <v>48962000</v>
      </c>
      <c r="K603" s="5">
        <v>108.51462549999999</v>
      </c>
    </row>
    <row r="604" spans="1:11" hidden="1">
      <c r="A604" s="4">
        <v>44705</v>
      </c>
      <c r="B604" s="5">
        <f t="shared" si="36"/>
        <v>24</v>
      </c>
      <c r="C604" s="5">
        <f t="shared" si="37"/>
        <v>5</v>
      </c>
      <c r="D604" s="5">
        <f t="shared" si="38"/>
        <v>2022</v>
      </c>
      <c r="E604" s="5" t="str">
        <f t="shared" si="39"/>
        <v>Q2</v>
      </c>
      <c r="F604" s="5">
        <v>109.5875015</v>
      </c>
      <c r="G604" s="5">
        <v>112.1474991</v>
      </c>
      <c r="H604" s="5">
        <v>108.7409973</v>
      </c>
      <c r="I604" s="5">
        <v>111.487999</v>
      </c>
      <c r="J604" s="5">
        <v>37184000</v>
      </c>
      <c r="K604" s="5">
        <v>111.0853043</v>
      </c>
    </row>
    <row r="605" spans="1:11" hidden="1">
      <c r="A605" s="4">
        <v>44706</v>
      </c>
      <c r="B605" s="5">
        <f t="shared" si="36"/>
        <v>25</v>
      </c>
      <c r="C605" s="5">
        <f t="shared" si="37"/>
        <v>5</v>
      </c>
      <c r="D605" s="5">
        <f t="shared" si="38"/>
        <v>2022</v>
      </c>
      <c r="E605" s="5" t="str">
        <f t="shared" si="39"/>
        <v>Q2</v>
      </c>
      <c r="F605" s="5">
        <v>105.7720032</v>
      </c>
      <c r="G605" s="5">
        <v>106.45850369999999</v>
      </c>
      <c r="H605" s="5">
        <v>101.8844986</v>
      </c>
      <c r="I605" s="5">
        <v>105.9700012</v>
      </c>
      <c r="J605" s="5">
        <v>76780000</v>
      </c>
      <c r="K605" s="5">
        <v>105.5872421</v>
      </c>
    </row>
    <row r="606" spans="1:11" hidden="1">
      <c r="A606" s="4">
        <v>44707</v>
      </c>
      <c r="B606" s="5">
        <f t="shared" si="36"/>
        <v>26</v>
      </c>
      <c r="C606" s="5">
        <f t="shared" si="37"/>
        <v>5</v>
      </c>
      <c r="D606" s="5">
        <f t="shared" si="38"/>
        <v>2022</v>
      </c>
      <c r="E606" s="5" t="str">
        <f t="shared" si="39"/>
        <v>Q2</v>
      </c>
      <c r="F606" s="5">
        <v>104.9854965</v>
      </c>
      <c r="G606" s="5">
        <v>106.5</v>
      </c>
      <c r="H606" s="5">
        <v>103.8564987</v>
      </c>
      <c r="I606" s="5">
        <v>105.8050003</v>
      </c>
      <c r="J606" s="5">
        <v>40258000</v>
      </c>
      <c r="K606" s="5">
        <v>105.4228287</v>
      </c>
    </row>
    <row r="607" spans="1:11" hidden="1">
      <c r="A607" s="4">
        <v>44708</v>
      </c>
      <c r="B607" s="5">
        <f t="shared" si="36"/>
        <v>27</v>
      </c>
      <c r="C607" s="5">
        <f t="shared" si="37"/>
        <v>5</v>
      </c>
      <c r="D607" s="5">
        <f t="shared" si="38"/>
        <v>2022</v>
      </c>
      <c r="E607" s="5" t="str">
        <f t="shared" si="39"/>
        <v>Q2</v>
      </c>
      <c r="F607" s="5">
        <v>105.677002</v>
      </c>
      <c r="G607" s="5">
        <v>108.64949799999999</v>
      </c>
      <c r="H607" s="5">
        <v>105.2249985</v>
      </c>
      <c r="I607" s="5">
        <v>107.7925034</v>
      </c>
      <c r="J607" s="5">
        <v>37948000</v>
      </c>
      <c r="K607" s="5">
        <v>107.4031525</v>
      </c>
    </row>
    <row r="608" spans="1:11" hidden="1">
      <c r="A608" s="4">
        <v>44712</v>
      </c>
      <c r="B608" s="5">
        <f t="shared" si="36"/>
        <v>31</v>
      </c>
      <c r="C608" s="5">
        <f t="shared" si="37"/>
        <v>5</v>
      </c>
      <c r="D608" s="5">
        <f t="shared" si="38"/>
        <v>2022</v>
      </c>
      <c r="E608" s="5" t="str">
        <f t="shared" si="39"/>
        <v>Q2</v>
      </c>
      <c r="F608" s="5">
        <v>109.4830017</v>
      </c>
      <c r="G608" s="5">
        <v>112.31800079999999</v>
      </c>
      <c r="H608" s="5">
        <v>109.13849639999999</v>
      </c>
      <c r="I608" s="5">
        <v>112.31649779999999</v>
      </c>
      <c r="J608" s="5">
        <v>37914000</v>
      </c>
      <c r="K608" s="5">
        <v>111.9108047</v>
      </c>
    </row>
    <row r="609" spans="1:11" hidden="1">
      <c r="A609" s="4">
        <v>44713</v>
      </c>
      <c r="B609" s="5">
        <f t="shared" si="36"/>
        <v>1</v>
      </c>
      <c r="C609" s="5">
        <f t="shared" si="37"/>
        <v>6</v>
      </c>
      <c r="D609" s="5">
        <f t="shared" si="38"/>
        <v>2022</v>
      </c>
      <c r="E609" s="5" t="str">
        <f t="shared" si="39"/>
        <v>Q2</v>
      </c>
      <c r="F609" s="5">
        <v>112.7464981</v>
      </c>
      <c r="G609" s="5">
        <v>115.73500060000001</v>
      </c>
      <c r="H609" s="5">
        <v>112.07849880000001</v>
      </c>
      <c r="I609" s="5">
        <v>113.762001</v>
      </c>
      <c r="J609" s="5">
        <v>50012000</v>
      </c>
      <c r="K609" s="5">
        <v>113.3510971</v>
      </c>
    </row>
    <row r="610" spans="1:11" hidden="1">
      <c r="A610" s="4">
        <v>44714</v>
      </c>
      <c r="B610" s="5">
        <f t="shared" si="36"/>
        <v>2</v>
      </c>
      <c r="C610" s="5">
        <f t="shared" si="37"/>
        <v>6</v>
      </c>
      <c r="D610" s="5">
        <f t="shared" si="38"/>
        <v>2022</v>
      </c>
      <c r="E610" s="5" t="str">
        <f t="shared" si="39"/>
        <v>Q2</v>
      </c>
      <c r="F610" s="5">
        <v>114.8550034</v>
      </c>
      <c r="G610" s="5">
        <v>117.1015015</v>
      </c>
      <c r="H610" s="5">
        <v>113.25</v>
      </c>
      <c r="I610" s="5">
        <v>113.8919983</v>
      </c>
      <c r="J610" s="5">
        <v>36606000</v>
      </c>
      <c r="K610" s="5">
        <v>113.4806213</v>
      </c>
    </row>
    <row r="611" spans="1:11" hidden="1">
      <c r="A611" s="4">
        <v>44715</v>
      </c>
      <c r="B611" s="5">
        <f t="shared" si="36"/>
        <v>3</v>
      </c>
      <c r="C611" s="5">
        <f t="shared" si="37"/>
        <v>6</v>
      </c>
      <c r="D611" s="5">
        <f t="shared" si="38"/>
        <v>2022</v>
      </c>
      <c r="E611" s="5" t="str">
        <f t="shared" si="39"/>
        <v>Q2</v>
      </c>
      <c r="F611" s="5">
        <v>114</v>
      </c>
      <c r="G611" s="5">
        <v>117.89949799999999</v>
      </c>
      <c r="H611" s="5">
        <v>112.9465027</v>
      </c>
      <c r="I611" s="5">
        <v>117.6224976</v>
      </c>
      <c r="J611" s="5">
        <v>37992000</v>
      </c>
      <c r="K611" s="5">
        <v>117.1976471</v>
      </c>
    </row>
    <row r="612" spans="1:11" hidden="1">
      <c r="A612" s="4">
        <v>44718</v>
      </c>
      <c r="B612" s="5">
        <f t="shared" si="36"/>
        <v>6</v>
      </c>
      <c r="C612" s="5">
        <f t="shared" si="37"/>
        <v>6</v>
      </c>
      <c r="D612" s="5">
        <f t="shared" si="38"/>
        <v>2022</v>
      </c>
      <c r="E612" s="5" t="str">
        <f t="shared" si="39"/>
        <v>Q2</v>
      </c>
      <c r="F612" s="5">
        <v>116.0625</v>
      </c>
      <c r="G612" s="5">
        <v>116.3215027</v>
      </c>
      <c r="H612" s="5">
        <v>113.5185013</v>
      </c>
      <c r="I612" s="5">
        <v>114.5410004</v>
      </c>
      <c r="J612" s="5">
        <v>26136000</v>
      </c>
      <c r="K612" s="5">
        <v>114.1272812</v>
      </c>
    </row>
    <row r="613" spans="1:11" hidden="1">
      <c r="A613" s="4">
        <v>44719</v>
      </c>
      <c r="B613" s="5">
        <f t="shared" si="36"/>
        <v>7</v>
      </c>
      <c r="C613" s="5">
        <f t="shared" si="37"/>
        <v>6</v>
      </c>
      <c r="D613" s="5">
        <f t="shared" si="38"/>
        <v>2022</v>
      </c>
      <c r="E613" s="5" t="str">
        <f t="shared" si="39"/>
        <v>Q2</v>
      </c>
      <c r="F613" s="5">
        <v>116.7044983</v>
      </c>
      <c r="G613" s="5">
        <v>119.3470001</v>
      </c>
      <c r="H613" s="5">
        <v>116.1640015</v>
      </c>
      <c r="I613" s="5">
        <v>116.8205032</v>
      </c>
      <c r="J613" s="5">
        <v>33542000</v>
      </c>
      <c r="K613" s="5">
        <v>116.3985443</v>
      </c>
    </row>
    <row r="614" spans="1:11" hidden="1">
      <c r="A614" s="4">
        <v>44720</v>
      </c>
      <c r="B614" s="5">
        <f t="shared" si="36"/>
        <v>8</v>
      </c>
      <c r="C614" s="5">
        <f t="shared" si="37"/>
        <v>6</v>
      </c>
      <c r="D614" s="5">
        <f t="shared" si="38"/>
        <v>2022</v>
      </c>
      <c r="E614" s="5" t="str">
        <f t="shared" si="39"/>
        <v>Q2</v>
      </c>
      <c r="F614" s="5">
        <v>115.48049930000001</v>
      </c>
      <c r="G614" s="5">
        <v>117.6910019</v>
      </c>
      <c r="H614" s="5">
        <v>115.052002</v>
      </c>
      <c r="I614" s="5">
        <v>117.14949799999999</v>
      </c>
      <c r="J614" s="5">
        <v>31590000</v>
      </c>
      <c r="K614" s="5">
        <v>116.72635649999999</v>
      </c>
    </row>
    <row r="615" spans="1:11" hidden="1">
      <c r="A615" s="4">
        <v>44721</v>
      </c>
      <c r="B615" s="5">
        <f t="shared" si="36"/>
        <v>9</v>
      </c>
      <c r="C615" s="5">
        <f t="shared" si="37"/>
        <v>6</v>
      </c>
      <c r="D615" s="5">
        <f t="shared" si="38"/>
        <v>2022</v>
      </c>
      <c r="E615" s="5" t="str">
        <f t="shared" si="39"/>
        <v>Q2</v>
      </c>
      <c r="F615" s="5">
        <v>116.7614975</v>
      </c>
      <c r="G615" s="5">
        <v>118.5705032</v>
      </c>
      <c r="H615" s="5">
        <v>116.5999985</v>
      </c>
      <c r="I615" s="5">
        <v>117.1940002</v>
      </c>
      <c r="J615" s="5">
        <v>26108000</v>
      </c>
      <c r="K615" s="5">
        <v>116.77069090000001</v>
      </c>
    </row>
    <row r="616" spans="1:11" hidden="1">
      <c r="A616" s="4">
        <v>44722</v>
      </c>
      <c r="B616" s="5">
        <f t="shared" si="36"/>
        <v>10</v>
      </c>
      <c r="C616" s="5">
        <f t="shared" si="37"/>
        <v>6</v>
      </c>
      <c r="D616" s="5">
        <f t="shared" si="38"/>
        <v>2022</v>
      </c>
      <c r="E616" s="5" t="str">
        <f t="shared" si="39"/>
        <v>Q2</v>
      </c>
      <c r="F616" s="5">
        <v>116.32749939999999</v>
      </c>
      <c r="G616" s="5">
        <v>118.29900360000001</v>
      </c>
      <c r="H616" s="5">
        <v>114.77600099999999</v>
      </c>
      <c r="I616" s="5">
        <v>114.8355026</v>
      </c>
      <c r="J616" s="5">
        <v>25798000</v>
      </c>
      <c r="K616" s="5">
        <v>114.4207153</v>
      </c>
    </row>
    <row r="617" spans="1:11" hidden="1">
      <c r="A617" s="4">
        <v>44725</v>
      </c>
      <c r="B617" s="5">
        <f t="shared" si="36"/>
        <v>13</v>
      </c>
      <c r="C617" s="5">
        <f t="shared" si="37"/>
        <v>6</v>
      </c>
      <c r="D617" s="5">
        <f t="shared" si="38"/>
        <v>2022</v>
      </c>
      <c r="E617" s="5" t="str">
        <f t="shared" si="39"/>
        <v>Q2</v>
      </c>
      <c r="F617" s="5">
        <v>112.4449997</v>
      </c>
      <c r="G617" s="5">
        <v>113.2789993</v>
      </c>
      <c r="H617" s="5">
        <v>110.3659973</v>
      </c>
      <c r="I617" s="5">
        <v>111.16149900000001</v>
      </c>
      <c r="J617" s="5">
        <v>41452000</v>
      </c>
      <c r="K617" s="5">
        <v>110.7599869</v>
      </c>
    </row>
    <row r="618" spans="1:11" hidden="1">
      <c r="A618" s="4">
        <v>44726</v>
      </c>
      <c r="B618" s="5">
        <f t="shared" si="36"/>
        <v>14</v>
      </c>
      <c r="C618" s="5">
        <f t="shared" si="37"/>
        <v>6</v>
      </c>
      <c r="D618" s="5">
        <f t="shared" si="38"/>
        <v>2022</v>
      </c>
      <c r="E618" s="5" t="str">
        <f t="shared" si="39"/>
        <v>Q2</v>
      </c>
      <c r="F618" s="5">
        <v>106.78649900000001</v>
      </c>
      <c r="G618" s="5">
        <v>108.79149630000001</v>
      </c>
      <c r="H618" s="5">
        <v>106.1190033</v>
      </c>
      <c r="I618" s="5">
        <v>106.39250180000001</v>
      </c>
      <c r="J618" s="5">
        <v>47252000</v>
      </c>
      <c r="K618" s="5">
        <v>106.0082092</v>
      </c>
    </row>
    <row r="619" spans="1:11" hidden="1">
      <c r="A619" s="4">
        <v>44727</v>
      </c>
      <c r="B619" s="5">
        <f t="shared" si="36"/>
        <v>15</v>
      </c>
      <c r="C619" s="5">
        <f t="shared" si="37"/>
        <v>6</v>
      </c>
      <c r="D619" s="5">
        <f t="shared" si="38"/>
        <v>2022</v>
      </c>
      <c r="E619" s="5" t="str">
        <f t="shared" si="39"/>
        <v>Q2</v>
      </c>
      <c r="F619" s="5">
        <v>106.5350037</v>
      </c>
      <c r="G619" s="5">
        <v>107.9244995</v>
      </c>
      <c r="H619" s="5">
        <v>105.8000031</v>
      </c>
      <c r="I619" s="5">
        <v>106.7154999</v>
      </c>
      <c r="J619" s="5">
        <v>33706000</v>
      </c>
      <c r="K619" s="5">
        <v>106.3300476</v>
      </c>
    </row>
    <row r="620" spans="1:11" hidden="1">
      <c r="A620" s="4">
        <v>44728</v>
      </c>
      <c r="B620" s="5">
        <f t="shared" si="36"/>
        <v>16</v>
      </c>
      <c r="C620" s="5">
        <f t="shared" si="37"/>
        <v>6</v>
      </c>
      <c r="D620" s="5">
        <f t="shared" si="38"/>
        <v>2022</v>
      </c>
      <c r="E620" s="5" t="str">
        <f t="shared" si="39"/>
        <v>Q2</v>
      </c>
      <c r="F620" s="5">
        <v>108.54499819999999</v>
      </c>
      <c r="G620" s="5">
        <v>111.4235001</v>
      </c>
      <c r="H620" s="5">
        <v>107.6695023</v>
      </c>
      <c r="I620" s="5">
        <v>109.7645035</v>
      </c>
      <c r="J620" s="5">
        <v>39698000</v>
      </c>
      <c r="K620" s="5">
        <v>109.3680344</v>
      </c>
    </row>
    <row r="621" spans="1:11" hidden="1">
      <c r="A621" s="4">
        <v>44729</v>
      </c>
      <c r="B621" s="5">
        <f t="shared" si="36"/>
        <v>17</v>
      </c>
      <c r="C621" s="5">
        <f t="shared" si="37"/>
        <v>6</v>
      </c>
      <c r="D621" s="5">
        <f t="shared" si="38"/>
        <v>2022</v>
      </c>
      <c r="E621" s="5" t="str">
        <f t="shared" si="39"/>
        <v>Q2</v>
      </c>
      <c r="F621" s="5">
        <v>107.2210007</v>
      </c>
      <c r="G621" s="5">
        <v>108.6484985</v>
      </c>
      <c r="H621" s="5">
        <v>105.1380005</v>
      </c>
      <c r="I621" s="5">
        <v>106.0335007</v>
      </c>
      <c r="J621" s="5">
        <v>51684000</v>
      </c>
      <c r="K621" s="5">
        <v>105.65051269999999</v>
      </c>
    </row>
    <row r="622" spans="1:11" hidden="1">
      <c r="A622" s="4">
        <v>44733</v>
      </c>
      <c r="B622" s="5">
        <f t="shared" si="36"/>
        <v>21</v>
      </c>
      <c r="C622" s="5">
        <f t="shared" si="37"/>
        <v>6</v>
      </c>
      <c r="D622" s="5">
        <f t="shared" si="38"/>
        <v>2022</v>
      </c>
      <c r="E622" s="5" t="str">
        <f t="shared" si="39"/>
        <v>Q2</v>
      </c>
      <c r="F622" s="5">
        <v>106.0335007</v>
      </c>
      <c r="G622" s="5">
        <v>108.699501</v>
      </c>
      <c r="H622" s="5">
        <v>105.04599760000001</v>
      </c>
      <c r="I622" s="5">
        <v>107.1435013</v>
      </c>
      <c r="J622" s="5">
        <v>51376000</v>
      </c>
      <c r="K622" s="5">
        <v>106.7565002</v>
      </c>
    </row>
    <row r="623" spans="1:11" hidden="1">
      <c r="A623" s="4">
        <v>44734</v>
      </c>
      <c r="B623" s="5">
        <f t="shared" si="36"/>
        <v>22</v>
      </c>
      <c r="C623" s="5">
        <f t="shared" si="37"/>
        <v>6</v>
      </c>
      <c r="D623" s="5">
        <f t="shared" si="38"/>
        <v>2022</v>
      </c>
      <c r="E623" s="5" t="str">
        <f t="shared" si="39"/>
        <v>Q2</v>
      </c>
      <c r="F623" s="5">
        <v>108.9294968</v>
      </c>
      <c r="G623" s="5">
        <v>112.489502</v>
      </c>
      <c r="H623" s="5">
        <v>108.5999985</v>
      </c>
      <c r="I623" s="5">
        <v>111.5439987</v>
      </c>
      <c r="J623" s="5">
        <v>47416000</v>
      </c>
      <c r="K623" s="5">
        <v>111.1411057</v>
      </c>
    </row>
    <row r="624" spans="1:11" hidden="1">
      <c r="A624" s="4">
        <v>44735</v>
      </c>
      <c r="B624" s="5">
        <f t="shared" si="36"/>
        <v>23</v>
      </c>
      <c r="C624" s="5">
        <f t="shared" si="37"/>
        <v>6</v>
      </c>
      <c r="D624" s="5">
        <f t="shared" si="38"/>
        <v>2022</v>
      </c>
      <c r="E624" s="5" t="str">
        <f t="shared" si="39"/>
        <v>Q2</v>
      </c>
      <c r="F624" s="5">
        <v>110.5565033</v>
      </c>
      <c r="G624" s="5">
        <v>113.34649659999999</v>
      </c>
      <c r="H624" s="5">
        <v>110.3824997</v>
      </c>
      <c r="I624" s="5">
        <v>111.4875031</v>
      </c>
      <c r="J624" s="5">
        <v>30774000</v>
      </c>
      <c r="K624" s="5">
        <v>111.08480830000001</v>
      </c>
    </row>
    <row r="625" spans="1:11" hidden="1">
      <c r="A625" s="4">
        <v>44736</v>
      </c>
      <c r="B625" s="5">
        <f t="shared" si="36"/>
        <v>24</v>
      </c>
      <c r="C625" s="5">
        <f t="shared" si="37"/>
        <v>6</v>
      </c>
      <c r="D625" s="5">
        <f t="shared" si="38"/>
        <v>2022</v>
      </c>
      <c r="E625" s="5" t="str">
        <f t="shared" si="39"/>
        <v>Q2</v>
      </c>
      <c r="F625" s="5">
        <v>112.2314987</v>
      </c>
      <c r="G625" s="5">
        <v>112.7425003</v>
      </c>
      <c r="H625" s="5">
        <v>110.50050349999999</v>
      </c>
      <c r="I625" s="5">
        <v>112.2419968</v>
      </c>
      <c r="J625" s="5">
        <v>28362000</v>
      </c>
      <c r="K625" s="5">
        <v>111.8365707</v>
      </c>
    </row>
    <row r="626" spans="1:11" hidden="1">
      <c r="A626" s="4">
        <v>44739</v>
      </c>
      <c r="B626" s="5">
        <f t="shared" si="36"/>
        <v>27</v>
      </c>
      <c r="C626" s="5">
        <f t="shared" si="37"/>
        <v>6</v>
      </c>
      <c r="D626" s="5">
        <f t="shared" si="38"/>
        <v>2022</v>
      </c>
      <c r="E626" s="5" t="str">
        <f t="shared" si="39"/>
        <v>Q2</v>
      </c>
      <c r="F626" s="5">
        <v>112.9950027</v>
      </c>
      <c r="G626" s="5">
        <v>118.07900239999999</v>
      </c>
      <c r="H626" s="5">
        <v>112.95249939999999</v>
      </c>
      <c r="I626" s="5">
        <v>117.9749985</v>
      </c>
      <c r="J626" s="5">
        <v>41164000</v>
      </c>
      <c r="K626" s="5">
        <v>117.5488739</v>
      </c>
    </row>
    <row r="627" spans="1:11" hidden="1">
      <c r="A627" s="4">
        <v>44740</v>
      </c>
      <c r="B627" s="5">
        <f t="shared" si="36"/>
        <v>28</v>
      </c>
      <c r="C627" s="5">
        <f t="shared" si="37"/>
        <v>6</v>
      </c>
      <c r="D627" s="5">
        <f t="shared" si="38"/>
        <v>2022</v>
      </c>
      <c r="E627" s="5" t="str">
        <f t="shared" si="39"/>
        <v>Q2</v>
      </c>
      <c r="F627" s="5">
        <v>118.2730026</v>
      </c>
      <c r="G627" s="5">
        <v>118.5794983</v>
      </c>
      <c r="H627" s="5">
        <v>115.1794968</v>
      </c>
      <c r="I627" s="5">
        <v>115.83350369999999</v>
      </c>
      <c r="J627" s="5">
        <v>36420000</v>
      </c>
      <c r="K627" s="5">
        <v>115.4151154</v>
      </c>
    </row>
    <row r="628" spans="1:11" hidden="1">
      <c r="A628" s="4">
        <v>44741</v>
      </c>
      <c r="B628" s="5">
        <f t="shared" si="36"/>
        <v>29</v>
      </c>
      <c r="C628" s="5">
        <f t="shared" si="37"/>
        <v>6</v>
      </c>
      <c r="D628" s="5">
        <f t="shared" si="38"/>
        <v>2022</v>
      </c>
      <c r="E628" s="5" t="str">
        <f t="shared" si="39"/>
        <v>Q2</v>
      </c>
      <c r="F628" s="5">
        <v>115.80249790000001</v>
      </c>
      <c r="G628" s="5">
        <v>117.3095016</v>
      </c>
      <c r="H628" s="5">
        <v>111.84799959999999</v>
      </c>
      <c r="I628" s="5">
        <v>112.0074997</v>
      </c>
      <c r="J628" s="5">
        <v>35792000</v>
      </c>
      <c r="K628" s="5">
        <v>111.6029358</v>
      </c>
    </row>
    <row r="629" spans="1:11" hidden="1">
      <c r="A629" s="4">
        <v>44742</v>
      </c>
      <c r="B629" s="5">
        <f t="shared" si="36"/>
        <v>30</v>
      </c>
      <c r="C629" s="5">
        <f t="shared" si="37"/>
        <v>6</v>
      </c>
      <c r="D629" s="5">
        <f t="shared" si="38"/>
        <v>2022</v>
      </c>
      <c r="E629" s="5" t="str">
        <f t="shared" si="39"/>
        <v>Q2</v>
      </c>
      <c r="F629" s="5">
        <v>111.552002</v>
      </c>
      <c r="G629" s="5">
        <v>113.16049959999999</v>
      </c>
      <c r="H629" s="5">
        <v>110.8724976</v>
      </c>
      <c r="I629" s="5">
        <v>111.7014999</v>
      </c>
      <c r="J629" s="5">
        <v>24716000</v>
      </c>
      <c r="K629" s="5">
        <v>111.2980347</v>
      </c>
    </row>
    <row r="630" spans="1:11" hidden="1">
      <c r="A630" s="4">
        <v>44743</v>
      </c>
      <c r="B630" s="5">
        <f t="shared" si="36"/>
        <v>1</v>
      </c>
      <c r="C630" s="5">
        <f t="shared" si="37"/>
        <v>7</v>
      </c>
      <c r="D630" s="5">
        <f t="shared" si="38"/>
        <v>2022</v>
      </c>
      <c r="E630" s="5" t="str">
        <f t="shared" si="39"/>
        <v>Q3</v>
      </c>
      <c r="F630" s="5">
        <v>110</v>
      </c>
      <c r="G630" s="5">
        <v>110.8880005</v>
      </c>
      <c r="H630" s="5">
        <v>106.75</v>
      </c>
      <c r="I630" s="5">
        <v>108.96299740000001</v>
      </c>
      <c r="J630" s="5">
        <v>43170000</v>
      </c>
      <c r="K630" s="5">
        <v>108.5694199</v>
      </c>
    </row>
    <row r="631" spans="1:11" hidden="1">
      <c r="A631" s="4">
        <v>44747</v>
      </c>
      <c r="B631" s="5">
        <f t="shared" si="36"/>
        <v>5</v>
      </c>
      <c r="C631" s="5">
        <f t="shared" si="37"/>
        <v>7</v>
      </c>
      <c r="D631" s="5">
        <f t="shared" si="38"/>
        <v>2022</v>
      </c>
      <c r="E631" s="5" t="str">
        <f t="shared" si="39"/>
        <v>Q3</v>
      </c>
      <c r="F631" s="5">
        <v>107.9329987</v>
      </c>
      <c r="G631" s="5">
        <v>109.25</v>
      </c>
      <c r="H631" s="5">
        <v>106.73049930000001</v>
      </c>
      <c r="I631" s="5">
        <v>108.7375031</v>
      </c>
      <c r="J631" s="5">
        <v>35476000</v>
      </c>
      <c r="K631" s="5">
        <v>108.34474179999999</v>
      </c>
    </row>
    <row r="632" spans="1:11" hidden="1">
      <c r="A632" s="4">
        <v>44748</v>
      </c>
      <c r="B632" s="5">
        <f t="shared" si="36"/>
        <v>6</v>
      </c>
      <c r="C632" s="5">
        <f t="shared" si="37"/>
        <v>7</v>
      </c>
      <c r="D632" s="5">
        <f t="shared" si="38"/>
        <v>2022</v>
      </c>
      <c r="E632" s="5" t="str">
        <f t="shared" si="39"/>
        <v>Q3</v>
      </c>
      <c r="F632" s="5">
        <v>107.10050200000001</v>
      </c>
      <c r="G632" s="5">
        <v>113.3769989</v>
      </c>
      <c r="H632" s="5">
        <v>105.7314987</v>
      </c>
      <c r="I632" s="5">
        <v>113.2630005</v>
      </c>
      <c r="J632" s="5">
        <v>39342000</v>
      </c>
      <c r="K632" s="5">
        <v>112.85388949999999</v>
      </c>
    </row>
    <row r="633" spans="1:11" hidden="1">
      <c r="A633" s="4">
        <v>44749</v>
      </c>
      <c r="B633" s="5">
        <f t="shared" si="36"/>
        <v>7</v>
      </c>
      <c r="C633" s="5">
        <f t="shared" si="37"/>
        <v>7</v>
      </c>
      <c r="D633" s="5">
        <f t="shared" si="38"/>
        <v>2022</v>
      </c>
      <c r="E633" s="5" t="str">
        <f t="shared" si="39"/>
        <v>Q3</v>
      </c>
      <c r="F633" s="5">
        <v>113.302002</v>
      </c>
      <c r="G633" s="5">
        <v>115.58950040000001</v>
      </c>
      <c r="H633" s="5">
        <v>111.4759979</v>
      </c>
      <c r="I633" s="5">
        <v>114.5719986</v>
      </c>
      <c r="J633" s="5">
        <v>37432000</v>
      </c>
      <c r="K633" s="5">
        <v>114.158165</v>
      </c>
    </row>
    <row r="634" spans="1:11" hidden="1">
      <c r="A634" s="4">
        <v>44750</v>
      </c>
      <c r="B634" s="5">
        <f t="shared" si="36"/>
        <v>8</v>
      </c>
      <c r="C634" s="5">
        <f t="shared" si="37"/>
        <v>7</v>
      </c>
      <c r="D634" s="5">
        <f t="shared" si="38"/>
        <v>2022</v>
      </c>
      <c r="E634" s="5" t="str">
        <f t="shared" si="39"/>
        <v>Q3</v>
      </c>
      <c r="F634" s="5">
        <v>115.08000180000001</v>
      </c>
      <c r="G634" s="5">
        <v>119.1894989</v>
      </c>
      <c r="H634" s="5">
        <v>114.83350369999999</v>
      </c>
      <c r="I634" s="5">
        <v>118.7829971</v>
      </c>
      <c r="J634" s="5">
        <v>40936000</v>
      </c>
      <c r="K634" s="5">
        <v>118.3539581</v>
      </c>
    </row>
    <row r="635" spans="1:11" hidden="1">
      <c r="A635" s="4">
        <v>44753</v>
      </c>
      <c r="B635" s="5">
        <f t="shared" si="36"/>
        <v>11</v>
      </c>
      <c r="C635" s="5">
        <f t="shared" si="37"/>
        <v>7</v>
      </c>
      <c r="D635" s="5">
        <f t="shared" si="38"/>
        <v>2022</v>
      </c>
      <c r="E635" s="5" t="str">
        <f t="shared" si="39"/>
        <v>Q3</v>
      </c>
      <c r="F635" s="5">
        <v>117.25</v>
      </c>
      <c r="G635" s="5">
        <v>119.6849976</v>
      </c>
      <c r="H635" s="5">
        <v>116.9014969</v>
      </c>
      <c r="I635" s="5">
        <v>119.3535004</v>
      </c>
      <c r="J635" s="5">
        <v>38238000</v>
      </c>
      <c r="K635" s="5">
        <v>118.92239379999999</v>
      </c>
    </row>
    <row r="636" spans="1:11" hidden="1">
      <c r="A636" s="4">
        <v>44754</v>
      </c>
      <c r="B636" s="5">
        <f t="shared" si="36"/>
        <v>12</v>
      </c>
      <c r="C636" s="5">
        <f t="shared" si="37"/>
        <v>7</v>
      </c>
      <c r="D636" s="5">
        <f t="shared" si="38"/>
        <v>2022</v>
      </c>
      <c r="E636" s="5" t="str">
        <f t="shared" si="39"/>
        <v>Q3</v>
      </c>
      <c r="F636" s="5">
        <v>117.9980011</v>
      </c>
      <c r="G636" s="5">
        <v>117.9980011</v>
      </c>
      <c r="H636" s="5">
        <v>115.3304977</v>
      </c>
      <c r="I636" s="5">
        <v>115.6764984</v>
      </c>
      <c r="J636" s="5">
        <v>31196000</v>
      </c>
      <c r="K636" s="5">
        <v>115.2586823</v>
      </c>
    </row>
    <row r="637" spans="1:11" hidden="1">
      <c r="A637" s="4">
        <v>44755</v>
      </c>
      <c r="B637" s="5">
        <f t="shared" si="36"/>
        <v>13</v>
      </c>
      <c r="C637" s="5">
        <f t="shared" si="37"/>
        <v>7</v>
      </c>
      <c r="D637" s="5">
        <f t="shared" si="38"/>
        <v>2022</v>
      </c>
      <c r="E637" s="5" t="str">
        <f t="shared" si="39"/>
        <v>Q3</v>
      </c>
      <c r="F637" s="5">
        <v>116.2149963</v>
      </c>
      <c r="G637" s="5">
        <v>116.97399900000001</v>
      </c>
      <c r="H637" s="5">
        <v>113.6900024</v>
      </c>
      <c r="I637" s="5">
        <v>114.0205002</v>
      </c>
      <c r="J637" s="5">
        <v>29960000</v>
      </c>
      <c r="K637" s="5">
        <v>113.6086655</v>
      </c>
    </row>
    <row r="638" spans="1:11" hidden="1">
      <c r="A638" s="4">
        <v>44756</v>
      </c>
      <c r="B638" s="5">
        <f t="shared" si="36"/>
        <v>14</v>
      </c>
      <c r="C638" s="5">
        <f t="shared" si="37"/>
        <v>7</v>
      </c>
      <c r="D638" s="5">
        <f t="shared" si="38"/>
        <v>2022</v>
      </c>
      <c r="E638" s="5" t="str">
        <f t="shared" si="39"/>
        <v>Q3</v>
      </c>
      <c r="F638" s="5">
        <v>111.70099639999999</v>
      </c>
      <c r="G638" s="5">
        <v>114.19599909999999</v>
      </c>
      <c r="H638" s="5">
        <v>111.2014999</v>
      </c>
      <c r="I638" s="5">
        <v>111.3535004</v>
      </c>
      <c r="J638" s="5">
        <v>43722000</v>
      </c>
      <c r="K638" s="5">
        <v>110.95130159999999</v>
      </c>
    </row>
    <row r="639" spans="1:11" hidden="1">
      <c r="A639" s="4">
        <v>44757</v>
      </c>
      <c r="B639" s="5">
        <f t="shared" si="36"/>
        <v>15</v>
      </c>
      <c r="C639" s="5">
        <f t="shared" si="37"/>
        <v>7</v>
      </c>
      <c r="D639" s="5">
        <f t="shared" si="38"/>
        <v>2022</v>
      </c>
      <c r="E639" s="5" t="str">
        <f t="shared" si="39"/>
        <v>Q3</v>
      </c>
      <c r="F639" s="5">
        <v>110.2105026</v>
      </c>
      <c r="G639" s="5">
        <v>111.09300229999999</v>
      </c>
      <c r="H639" s="5">
        <v>108.3730011</v>
      </c>
      <c r="I639" s="5">
        <v>110.3675003</v>
      </c>
      <c r="J639" s="5">
        <v>37004000</v>
      </c>
      <c r="K639" s="5">
        <v>109.9688568</v>
      </c>
    </row>
    <row r="640" spans="1:11" hidden="1">
      <c r="A640" s="4">
        <v>44760</v>
      </c>
      <c r="B640" s="5">
        <f t="shared" si="36"/>
        <v>18</v>
      </c>
      <c r="C640" s="5">
        <f t="shared" si="37"/>
        <v>7</v>
      </c>
      <c r="D640" s="5">
        <f t="shared" si="38"/>
        <v>2022</v>
      </c>
      <c r="E640" s="5" t="str">
        <f t="shared" si="39"/>
        <v>Q3</v>
      </c>
      <c r="F640" s="5">
        <v>112.00050349999999</v>
      </c>
      <c r="G640" s="5">
        <v>113.1405029</v>
      </c>
      <c r="H640" s="5">
        <v>110.9000015</v>
      </c>
      <c r="I640" s="5">
        <v>111.7774963</v>
      </c>
      <c r="J640" s="5">
        <v>46770000</v>
      </c>
      <c r="K640" s="5">
        <v>111.3737564</v>
      </c>
    </row>
    <row r="641" spans="1:11" hidden="1">
      <c r="A641" s="4">
        <v>44761</v>
      </c>
      <c r="B641" s="5">
        <f t="shared" si="36"/>
        <v>19</v>
      </c>
      <c r="C641" s="5">
        <f t="shared" si="37"/>
        <v>7</v>
      </c>
      <c r="D641" s="5">
        <f t="shared" si="38"/>
        <v>2022</v>
      </c>
      <c r="E641" s="5" t="str">
        <f t="shared" si="39"/>
        <v>Q3</v>
      </c>
      <c r="F641" s="5">
        <v>112.63999939999999</v>
      </c>
      <c r="G641" s="5">
        <v>113.6800003</v>
      </c>
      <c r="H641" s="5">
        <v>108.3700027</v>
      </c>
      <c r="I641" s="5">
        <v>109.0299988</v>
      </c>
      <c r="J641" s="5">
        <v>43164600</v>
      </c>
      <c r="K641" s="5">
        <v>108.6361847</v>
      </c>
    </row>
    <row r="642" spans="1:11" hidden="1">
      <c r="A642" s="4">
        <v>44762</v>
      </c>
      <c r="B642" s="5">
        <f t="shared" ref="B642:B705" si="40">DAY(A642)</f>
        <v>20</v>
      </c>
      <c r="C642" s="5">
        <f t="shared" ref="C642:C705" si="41">MONTH(A642)</f>
        <v>7</v>
      </c>
      <c r="D642" s="5">
        <f t="shared" ref="D642:D705" si="42">YEAR(A642)</f>
        <v>2022</v>
      </c>
      <c r="E642" s="5" t="str">
        <f t="shared" ref="E642:E705" si="43">"Q"&amp;ROUNDUP(MONTH(A642)/3,0)</f>
        <v>Q3</v>
      </c>
      <c r="F642" s="5">
        <v>110.8499985</v>
      </c>
      <c r="G642" s="5">
        <v>114.0199966</v>
      </c>
      <c r="H642" s="5">
        <v>109.5599976</v>
      </c>
      <c r="I642" s="5">
        <v>113.8099976</v>
      </c>
      <c r="J642" s="5">
        <v>36530900</v>
      </c>
      <c r="K642" s="5">
        <v>113.3989105</v>
      </c>
    </row>
    <row r="643" spans="1:11" hidden="1">
      <c r="A643" s="4">
        <v>44763</v>
      </c>
      <c r="B643" s="5">
        <f t="shared" si="40"/>
        <v>21</v>
      </c>
      <c r="C643" s="5">
        <f t="shared" si="41"/>
        <v>7</v>
      </c>
      <c r="D643" s="5">
        <f t="shared" si="42"/>
        <v>2022</v>
      </c>
      <c r="E643" s="5" t="str">
        <f t="shared" si="43"/>
        <v>Q3</v>
      </c>
      <c r="F643" s="5">
        <v>113.16999819999999</v>
      </c>
      <c r="G643" s="5">
        <v>115.4000015</v>
      </c>
      <c r="H643" s="5">
        <v>112.4800034</v>
      </c>
      <c r="I643" s="5">
        <v>113.9000015</v>
      </c>
      <c r="J643" s="5">
        <v>35600400</v>
      </c>
      <c r="K643" s="5">
        <v>113.4886017</v>
      </c>
    </row>
    <row r="644" spans="1:11" hidden="1">
      <c r="A644" s="4">
        <v>44764</v>
      </c>
      <c r="B644" s="5">
        <f t="shared" si="40"/>
        <v>22</v>
      </c>
      <c r="C644" s="5">
        <f t="shared" si="41"/>
        <v>7</v>
      </c>
      <c r="D644" s="5">
        <f t="shared" si="42"/>
        <v>2022</v>
      </c>
      <c r="E644" s="5" t="str">
        <f t="shared" si="43"/>
        <v>Q3</v>
      </c>
      <c r="F644" s="5">
        <v>114.2799988</v>
      </c>
      <c r="G644" s="5">
        <v>114.5500031</v>
      </c>
      <c r="H644" s="5">
        <v>111.11000060000001</v>
      </c>
      <c r="I644" s="5">
        <v>114.3399963</v>
      </c>
      <c r="J644" s="5">
        <v>32676200</v>
      </c>
      <c r="K644" s="5">
        <v>113.927002</v>
      </c>
    </row>
    <row r="645" spans="1:11" hidden="1">
      <c r="A645" s="4">
        <v>44767</v>
      </c>
      <c r="B645" s="5">
        <f t="shared" si="40"/>
        <v>25</v>
      </c>
      <c r="C645" s="5">
        <f t="shared" si="41"/>
        <v>7</v>
      </c>
      <c r="D645" s="5">
        <f t="shared" si="42"/>
        <v>2022</v>
      </c>
      <c r="E645" s="5" t="str">
        <f t="shared" si="43"/>
        <v>Q3</v>
      </c>
      <c r="F645" s="5">
        <v>111</v>
      </c>
      <c r="G645" s="5">
        <v>112.3399963</v>
      </c>
      <c r="H645" s="5">
        <v>106.5</v>
      </c>
      <c r="I645" s="5">
        <v>107.9000015</v>
      </c>
      <c r="J645" s="5">
        <v>48901200</v>
      </c>
      <c r="K645" s="5">
        <v>107.5102692</v>
      </c>
    </row>
    <row r="646" spans="1:11" hidden="1">
      <c r="A646" s="4">
        <v>44768</v>
      </c>
      <c r="B646" s="5">
        <f t="shared" si="40"/>
        <v>26</v>
      </c>
      <c r="C646" s="5">
        <f t="shared" si="41"/>
        <v>7</v>
      </c>
      <c r="D646" s="5">
        <f t="shared" si="42"/>
        <v>2022</v>
      </c>
      <c r="E646" s="5" t="str">
        <f t="shared" si="43"/>
        <v>Q3</v>
      </c>
      <c r="F646" s="5">
        <v>108.4100037</v>
      </c>
      <c r="G646" s="5">
        <v>109.8700027</v>
      </c>
      <c r="H646" s="5">
        <v>106.3000031</v>
      </c>
      <c r="I646" s="5">
        <v>107.51000209999999</v>
      </c>
      <c r="J646" s="5">
        <v>34690900</v>
      </c>
      <c r="K646" s="5">
        <v>107.12167359999999</v>
      </c>
    </row>
    <row r="647" spans="1:11" hidden="1">
      <c r="A647" s="4">
        <v>44769</v>
      </c>
      <c r="B647" s="5">
        <f t="shared" si="40"/>
        <v>27</v>
      </c>
      <c r="C647" s="5">
        <f t="shared" si="41"/>
        <v>7</v>
      </c>
      <c r="D647" s="5">
        <f t="shared" si="42"/>
        <v>2022</v>
      </c>
      <c r="E647" s="5" t="str">
        <f t="shared" si="43"/>
        <v>Q3</v>
      </c>
      <c r="F647" s="5">
        <v>106.5999985</v>
      </c>
      <c r="G647" s="5">
        <v>107.1999969</v>
      </c>
      <c r="H647" s="5">
        <v>104.0699997</v>
      </c>
      <c r="I647" s="5">
        <v>105.0199966</v>
      </c>
      <c r="J647" s="5">
        <v>47991000</v>
      </c>
      <c r="K647" s="5">
        <v>104.6406631</v>
      </c>
    </row>
    <row r="648" spans="1:11" hidden="1">
      <c r="A648" s="4">
        <v>44770</v>
      </c>
      <c r="B648" s="5">
        <f t="shared" si="40"/>
        <v>28</v>
      </c>
      <c r="C648" s="5">
        <f t="shared" si="41"/>
        <v>7</v>
      </c>
      <c r="D648" s="5">
        <f t="shared" si="42"/>
        <v>2022</v>
      </c>
      <c r="E648" s="5" t="str">
        <f t="shared" si="43"/>
        <v>Q3</v>
      </c>
      <c r="F648" s="5">
        <v>109.26000209999999</v>
      </c>
      <c r="G648" s="5">
        <v>113.9100037</v>
      </c>
      <c r="H648" s="5">
        <v>108.01000209999999</v>
      </c>
      <c r="I648" s="5">
        <v>113.0599976</v>
      </c>
      <c r="J648" s="5">
        <v>59858500</v>
      </c>
      <c r="K648" s="5">
        <v>112.6516266</v>
      </c>
    </row>
    <row r="649" spans="1:11" hidden="1">
      <c r="A649" s="4">
        <v>44771</v>
      </c>
      <c r="B649" s="5">
        <f t="shared" si="40"/>
        <v>29</v>
      </c>
      <c r="C649" s="5">
        <f t="shared" si="41"/>
        <v>7</v>
      </c>
      <c r="D649" s="5">
        <f t="shared" si="42"/>
        <v>2022</v>
      </c>
      <c r="E649" s="5" t="str">
        <f t="shared" si="43"/>
        <v>Q3</v>
      </c>
      <c r="F649" s="5">
        <v>112.3700027</v>
      </c>
      <c r="G649" s="5">
        <v>114.3399963</v>
      </c>
      <c r="H649" s="5">
        <v>111.4599991</v>
      </c>
      <c r="I649" s="5">
        <v>114.2200012</v>
      </c>
      <c r="J649" s="5">
        <v>32816600</v>
      </c>
      <c r="K649" s="5">
        <v>113.8074417</v>
      </c>
    </row>
    <row r="650" spans="1:11" hidden="1">
      <c r="A650" s="4">
        <v>44774</v>
      </c>
      <c r="B650" s="5">
        <f t="shared" si="40"/>
        <v>1</v>
      </c>
      <c r="C650" s="5">
        <f t="shared" si="41"/>
        <v>8</v>
      </c>
      <c r="D650" s="5">
        <f t="shared" si="42"/>
        <v>2022</v>
      </c>
      <c r="E650" s="5" t="str">
        <f t="shared" si="43"/>
        <v>Q3</v>
      </c>
      <c r="F650" s="5">
        <v>113.08000180000001</v>
      </c>
      <c r="G650" s="5">
        <v>116.7099991</v>
      </c>
      <c r="H650" s="5">
        <v>113.0599976</v>
      </c>
      <c r="I650" s="5">
        <v>116.3199997</v>
      </c>
      <c r="J650" s="5">
        <v>37223400</v>
      </c>
      <c r="K650" s="5">
        <v>115.89985660000001</v>
      </c>
    </row>
    <row r="651" spans="1:11" hidden="1">
      <c r="A651" s="4">
        <v>44775</v>
      </c>
      <c r="B651" s="5">
        <f t="shared" si="40"/>
        <v>2</v>
      </c>
      <c r="C651" s="5">
        <f t="shared" si="41"/>
        <v>8</v>
      </c>
      <c r="D651" s="5">
        <f t="shared" si="42"/>
        <v>2022</v>
      </c>
      <c r="E651" s="5" t="str">
        <f t="shared" si="43"/>
        <v>Q3</v>
      </c>
      <c r="F651" s="5">
        <v>115.3000031</v>
      </c>
      <c r="G651" s="5">
        <v>116.7200012</v>
      </c>
      <c r="H651" s="5">
        <v>114.3399963</v>
      </c>
      <c r="I651" s="5">
        <v>114.86000060000001</v>
      </c>
      <c r="J651" s="5">
        <v>26034300</v>
      </c>
      <c r="K651" s="5">
        <v>114.4451294</v>
      </c>
    </row>
    <row r="652" spans="1:11" hidden="1">
      <c r="A652" s="4">
        <v>44776</v>
      </c>
      <c r="B652" s="5">
        <f t="shared" si="40"/>
        <v>3</v>
      </c>
      <c r="C652" s="5">
        <f t="shared" si="41"/>
        <v>8</v>
      </c>
      <c r="D652" s="5">
        <f t="shared" si="42"/>
        <v>2022</v>
      </c>
      <c r="E652" s="5" t="str">
        <f t="shared" si="43"/>
        <v>Q3</v>
      </c>
      <c r="F652" s="5">
        <v>114</v>
      </c>
      <c r="G652" s="5">
        <v>116.3499985</v>
      </c>
      <c r="H652" s="5">
        <v>113.7200012</v>
      </c>
      <c r="I652" s="5">
        <v>115.1299973</v>
      </c>
      <c r="J652" s="5">
        <v>20236000</v>
      </c>
      <c r="K652" s="5">
        <v>114.7141495</v>
      </c>
    </row>
    <row r="653" spans="1:11" hidden="1">
      <c r="A653" s="4">
        <v>44777</v>
      </c>
      <c r="B653" s="5">
        <f t="shared" si="40"/>
        <v>4</v>
      </c>
      <c r="C653" s="5">
        <f t="shared" si="41"/>
        <v>8</v>
      </c>
      <c r="D653" s="5">
        <f t="shared" si="42"/>
        <v>2022</v>
      </c>
      <c r="E653" s="5" t="str">
        <f t="shared" si="43"/>
        <v>Q3</v>
      </c>
      <c r="F653" s="5">
        <v>115.7099991</v>
      </c>
      <c r="G653" s="5">
        <v>118.6200027</v>
      </c>
      <c r="H653" s="5">
        <v>115.4800034</v>
      </c>
      <c r="I653" s="5">
        <v>118.08000180000001</v>
      </c>
      <c r="J653" s="5">
        <v>28499000</v>
      </c>
      <c r="K653" s="5">
        <v>117.6534958</v>
      </c>
    </row>
    <row r="654" spans="1:11" hidden="1">
      <c r="A654" s="4">
        <v>44778</v>
      </c>
      <c r="B654" s="5">
        <f t="shared" si="40"/>
        <v>5</v>
      </c>
      <c r="C654" s="5">
        <f t="shared" si="41"/>
        <v>8</v>
      </c>
      <c r="D654" s="5">
        <f t="shared" si="42"/>
        <v>2022</v>
      </c>
      <c r="E654" s="5" t="str">
        <f t="shared" si="43"/>
        <v>Q3</v>
      </c>
      <c r="F654" s="5">
        <v>117.4800034</v>
      </c>
      <c r="G654" s="5">
        <v>118.7799988</v>
      </c>
      <c r="H654" s="5">
        <v>116.88999939999999</v>
      </c>
      <c r="I654" s="5">
        <v>118.1900024</v>
      </c>
      <c r="J654" s="5">
        <v>21602900</v>
      </c>
      <c r="K654" s="5">
        <v>117.7630997</v>
      </c>
    </row>
    <row r="655" spans="1:11" hidden="1">
      <c r="A655" s="4">
        <v>44781</v>
      </c>
      <c r="B655" s="5">
        <f t="shared" si="40"/>
        <v>8</v>
      </c>
      <c r="C655" s="5">
        <f t="shared" si="41"/>
        <v>8</v>
      </c>
      <c r="D655" s="5">
        <f t="shared" si="42"/>
        <v>2022</v>
      </c>
      <c r="E655" s="5" t="str">
        <f t="shared" si="43"/>
        <v>Q3</v>
      </c>
      <c r="F655" s="5">
        <v>116.2300034</v>
      </c>
      <c r="G655" s="5">
        <v>118.11000060000001</v>
      </c>
      <c r="H655" s="5">
        <v>116</v>
      </c>
      <c r="I655" s="5">
        <v>117.4700012</v>
      </c>
      <c r="J655" s="5">
        <v>19159500</v>
      </c>
      <c r="K655" s="5">
        <v>117.0457001</v>
      </c>
    </row>
    <row r="656" spans="1:11" hidden="1">
      <c r="A656" s="4">
        <v>44782</v>
      </c>
      <c r="B656" s="5">
        <f t="shared" si="40"/>
        <v>9</v>
      </c>
      <c r="C656" s="5">
        <f t="shared" si="41"/>
        <v>8</v>
      </c>
      <c r="D656" s="5">
        <f t="shared" si="42"/>
        <v>2022</v>
      </c>
      <c r="E656" s="5" t="str">
        <f t="shared" si="43"/>
        <v>Q3</v>
      </c>
      <c r="F656" s="5">
        <v>118.38999939999999</v>
      </c>
      <c r="G656" s="5">
        <v>120.1500015</v>
      </c>
      <c r="H656" s="5">
        <v>116.8799973</v>
      </c>
      <c r="I656" s="5">
        <v>117.3000031</v>
      </c>
      <c r="J656" s="5">
        <v>19138300</v>
      </c>
      <c r="K656" s="5">
        <v>116.8763199</v>
      </c>
    </row>
    <row r="657" spans="1:11" hidden="1">
      <c r="A657" s="4">
        <v>44783</v>
      </c>
      <c r="B657" s="5">
        <f t="shared" si="40"/>
        <v>10</v>
      </c>
      <c r="C657" s="5">
        <f t="shared" si="41"/>
        <v>8</v>
      </c>
      <c r="D657" s="5">
        <f t="shared" si="42"/>
        <v>2022</v>
      </c>
      <c r="E657" s="5" t="str">
        <f t="shared" si="43"/>
        <v>Q3</v>
      </c>
      <c r="F657" s="5">
        <v>117.13999939999999</v>
      </c>
      <c r="G657" s="5">
        <v>117.3199997</v>
      </c>
      <c r="H657" s="5">
        <v>115.7099991</v>
      </c>
      <c r="I657" s="5">
        <v>116.6299973</v>
      </c>
      <c r="J657" s="5">
        <v>19086500</v>
      </c>
      <c r="K657" s="5">
        <v>116.2087326</v>
      </c>
    </row>
    <row r="658" spans="1:11" hidden="1">
      <c r="A658" s="4">
        <v>44784</v>
      </c>
      <c r="B658" s="5">
        <f t="shared" si="40"/>
        <v>11</v>
      </c>
      <c r="C658" s="5">
        <f t="shared" si="41"/>
        <v>8</v>
      </c>
      <c r="D658" s="5">
        <f t="shared" si="42"/>
        <v>2022</v>
      </c>
      <c r="E658" s="5" t="str">
        <f t="shared" si="43"/>
        <v>Q3</v>
      </c>
      <c r="F658" s="5">
        <v>118.7799988</v>
      </c>
      <c r="G658" s="5">
        <v>120.91999819999999</v>
      </c>
      <c r="H658" s="5">
        <v>118.4100037</v>
      </c>
      <c r="I658" s="5">
        <v>119.6999969</v>
      </c>
      <c r="J658" s="5">
        <v>30930400</v>
      </c>
      <c r="K658" s="5">
        <v>119.2676392</v>
      </c>
    </row>
    <row r="659" spans="1:11" hidden="1">
      <c r="A659" s="4">
        <v>44785</v>
      </c>
      <c r="B659" s="5">
        <f t="shared" si="40"/>
        <v>12</v>
      </c>
      <c r="C659" s="5">
        <f t="shared" si="41"/>
        <v>8</v>
      </c>
      <c r="D659" s="5">
        <f t="shared" si="42"/>
        <v>2022</v>
      </c>
      <c r="E659" s="5" t="str">
        <f t="shared" si="43"/>
        <v>Q3</v>
      </c>
      <c r="F659" s="5">
        <v>121.2799988</v>
      </c>
      <c r="G659" s="5">
        <v>121.48999790000001</v>
      </c>
      <c r="H659" s="5">
        <v>118.5599976</v>
      </c>
      <c r="I659" s="5">
        <v>118.8399963</v>
      </c>
      <c r="J659" s="5">
        <v>24293700</v>
      </c>
      <c r="K659" s="5">
        <v>118.4107437</v>
      </c>
    </row>
    <row r="660" spans="1:11" hidden="1">
      <c r="A660" s="4">
        <v>44788</v>
      </c>
      <c r="B660" s="5">
        <f t="shared" si="40"/>
        <v>15</v>
      </c>
      <c r="C660" s="5">
        <f t="shared" si="41"/>
        <v>8</v>
      </c>
      <c r="D660" s="5">
        <f t="shared" si="42"/>
        <v>2022</v>
      </c>
      <c r="E660" s="5" t="str">
        <f t="shared" si="43"/>
        <v>Q3</v>
      </c>
      <c r="F660" s="5">
        <v>120.26000209999999</v>
      </c>
      <c r="G660" s="5">
        <v>121.6800003</v>
      </c>
      <c r="H660" s="5">
        <v>119.4599991</v>
      </c>
      <c r="I660" s="5">
        <v>121.6800003</v>
      </c>
      <c r="J660" s="5">
        <v>19096300</v>
      </c>
      <c r="K660" s="5">
        <v>121.2404938</v>
      </c>
    </row>
    <row r="661" spans="1:11" hidden="1">
      <c r="A661" s="4">
        <v>44789</v>
      </c>
      <c r="B661" s="5">
        <f t="shared" si="40"/>
        <v>16</v>
      </c>
      <c r="C661" s="5">
        <f t="shared" si="41"/>
        <v>8</v>
      </c>
      <c r="D661" s="5">
        <f t="shared" si="42"/>
        <v>2022</v>
      </c>
      <c r="E661" s="5" t="str">
        <f t="shared" si="43"/>
        <v>Q3</v>
      </c>
      <c r="F661" s="5">
        <v>121.1299973</v>
      </c>
      <c r="G661" s="5">
        <v>122.3000031</v>
      </c>
      <c r="H661" s="5">
        <v>120.61000060000001</v>
      </c>
      <c r="I661" s="5">
        <v>122.08000180000001</v>
      </c>
      <c r="J661" s="5">
        <v>19494800</v>
      </c>
      <c r="K661" s="5">
        <v>121.6390533</v>
      </c>
    </row>
    <row r="662" spans="1:11" hidden="1">
      <c r="A662" s="4">
        <v>44790</v>
      </c>
      <c r="B662" s="5">
        <f t="shared" si="40"/>
        <v>17</v>
      </c>
      <c r="C662" s="5">
        <f t="shared" si="41"/>
        <v>8</v>
      </c>
      <c r="D662" s="5">
        <f t="shared" si="42"/>
        <v>2022</v>
      </c>
      <c r="E662" s="5" t="str">
        <f t="shared" si="43"/>
        <v>Q3</v>
      </c>
      <c r="F662" s="5">
        <v>121.5199966</v>
      </c>
      <c r="G662" s="5">
        <v>122.4300003</v>
      </c>
      <c r="H662" s="5">
        <v>120.63999939999999</v>
      </c>
      <c r="I662" s="5">
        <v>121.6999969</v>
      </c>
      <c r="J662" s="5">
        <v>19041200</v>
      </c>
      <c r="K662" s="5">
        <v>121.26041410000001</v>
      </c>
    </row>
    <row r="663" spans="1:11" hidden="1">
      <c r="A663" s="4">
        <v>44791</v>
      </c>
      <c r="B663" s="5">
        <f t="shared" si="40"/>
        <v>18</v>
      </c>
      <c r="C663" s="5">
        <f t="shared" si="41"/>
        <v>8</v>
      </c>
      <c r="D663" s="5">
        <f t="shared" si="42"/>
        <v>2022</v>
      </c>
      <c r="E663" s="5" t="str">
        <f t="shared" si="43"/>
        <v>Q3</v>
      </c>
      <c r="F663" s="5">
        <v>120.1200027</v>
      </c>
      <c r="G663" s="5">
        <v>121.2900009</v>
      </c>
      <c r="H663" s="5">
        <v>119.3799973</v>
      </c>
      <c r="I663" s="5">
        <v>119.5500031</v>
      </c>
      <c r="J663" s="5">
        <v>22847000</v>
      </c>
      <c r="K663" s="5">
        <v>119.11818700000001</v>
      </c>
    </row>
    <row r="664" spans="1:11" hidden="1">
      <c r="A664" s="4">
        <v>44792</v>
      </c>
      <c r="B664" s="5">
        <f t="shared" si="40"/>
        <v>19</v>
      </c>
      <c r="C664" s="5">
        <f t="shared" si="41"/>
        <v>8</v>
      </c>
      <c r="D664" s="5">
        <f t="shared" si="42"/>
        <v>2022</v>
      </c>
      <c r="E664" s="5" t="str">
        <f t="shared" si="43"/>
        <v>Q3</v>
      </c>
      <c r="F664" s="5">
        <v>119.4300003</v>
      </c>
      <c r="G664" s="5">
        <v>120.8199997</v>
      </c>
      <c r="H664" s="5">
        <v>118.7200012</v>
      </c>
      <c r="I664" s="5">
        <v>120.16999819999999</v>
      </c>
      <c r="J664" s="5">
        <v>17987700</v>
      </c>
      <c r="K664" s="5">
        <v>119.7359467</v>
      </c>
    </row>
    <row r="665" spans="1:11" hidden="1">
      <c r="A665" s="4">
        <v>44795</v>
      </c>
      <c r="B665" s="5">
        <f t="shared" si="40"/>
        <v>22</v>
      </c>
      <c r="C665" s="5">
        <f t="shared" si="41"/>
        <v>8</v>
      </c>
      <c r="D665" s="5">
        <f t="shared" si="42"/>
        <v>2022</v>
      </c>
      <c r="E665" s="5" t="str">
        <f t="shared" si="43"/>
        <v>Q3</v>
      </c>
      <c r="F665" s="5">
        <v>119.0599976</v>
      </c>
      <c r="G665" s="5">
        <v>119.1500015</v>
      </c>
      <c r="H665" s="5">
        <v>116.76000209999999</v>
      </c>
      <c r="I665" s="5">
        <v>117.2099991</v>
      </c>
      <c r="J665" s="5">
        <v>21809500</v>
      </c>
      <c r="K665" s="5">
        <v>116.78663640000001</v>
      </c>
    </row>
    <row r="666" spans="1:11" hidden="1">
      <c r="A666" s="4">
        <v>44796</v>
      </c>
      <c r="B666" s="5">
        <f t="shared" si="40"/>
        <v>23</v>
      </c>
      <c r="C666" s="5">
        <f t="shared" si="41"/>
        <v>8</v>
      </c>
      <c r="D666" s="5">
        <f t="shared" si="42"/>
        <v>2022</v>
      </c>
      <c r="E666" s="5" t="str">
        <f t="shared" si="43"/>
        <v>Q3</v>
      </c>
      <c r="F666" s="5">
        <v>115.1999969</v>
      </c>
      <c r="G666" s="5">
        <v>115.6299973</v>
      </c>
      <c r="H666" s="5">
        <v>113.8499985</v>
      </c>
      <c r="I666" s="5">
        <v>114.23999790000001</v>
      </c>
      <c r="J666" s="5">
        <v>21456600</v>
      </c>
      <c r="K666" s="5">
        <v>113.82736970000001</v>
      </c>
    </row>
    <row r="667" spans="1:11" hidden="1">
      <c r="A667" s="4">
        <v>44797</v>
      </c>
      <c r="B667" s="5">
        <f t="shared" si="40"/>
        <v>24</v>
      </c>
      <c r="C667" s="5">
        <f t="shared" si="41"/>
        <v>8</v>
      </c>
      <c r="D667" s="5">
        <f t="shared" si="42"/>
        <v>2022</v>
      </c>
      <c r="E667" s="5" t="str">
        <f t="shared" si="43"/>
        <v>Q3</v>
      </c>
      <c r="F667" s="5">
        <v>113.4800034</v>
      </c>
      <c r="G667" s="5">
        <v>115.01000209999999</v>
      </c>
      <c r="H667" s="5">
        <v>113.4300003</v>
      </c>
      <c r="I667" s="5">
        <v>113.86000060000001</v>
      </c>
      <c r="J667" s="5">
        <v>15870400</v>
      </c>
      <c r="K667" s="5">
        <v>113.4487457</v>
      </c>
    </row>
    <row r="668" spans="1:11" hidden="1">
      <c r="A668" s="4">
        <v>44798</v>
      </c>
      <c r="B668" s="5">
        <f t="shared" si="40"/>
        <v>25</v>
      </c>
      <c r="C668" s="5">
        <f t="shared" si="41"/>
        <v>8</v>
      </c>
      <c r="D668" s="5">
        <f t="shared" si="42"/>
        <v>2022</v>
      </c>
      <c r="E668" s="5" t="str">
        <f t="shared" si="43"/>
        <v>Q3</v>
      </c>
      <c r="F668" s="5">
        <v>113.5</v>
      </c>
      <c r="G668" s="5">
        <v>114.7799988</v>
      </c>
      <c r="H668" s="5">
        <v>112.8700027</v>
      </c>
      <c r="I668" s="5">
        <v>113.6900024</v>
      </c>
      <c r="J668" s="5">
        <v>17734600</v>
      </c>
      <c r="K668" s="5">
        <v>113.2793503</v>
      </c>
    </row>
    <row r="669" spans="1:11" hidden="1">
      <c r="A669" s="4">
        <v>44799</v>
      </c>
      <c r="B669" s="5">
        <f t="shared" si="40"/>
        <v>26</v>
      </c>
      <c r="C669" s="5">
        <f t="shared" si="41"/>
        <v>8</v>
      </c>
      <c r="D669" s="5">
        <f t="shared" si="42"/>
        <v>2022</v>
      </c>
      <c r="E669" s="5" t="str">
        <f t="shared" si="43"/>
        <v>Q3</v>
      </c>
      <c r="F669" s="5">
        <v>114.23999790000001</v>
      </c>
      <c r="G669" s="5">
        <v>116.7200012</v>
      </c>
      <c r="H669" s="5">
        <v>114.11000060000001</v>
      </c>
      <c r="I669" s="5">
        <v>116.6500015</v>
      </c>
      <c r="J669" s="5">
        <v>16956800</v>
      </c>
      <c r="K669" s="5">
        <v>116.2286682</v>
      </c>
    </row>
    <row r="670" spans="1:11" hidden="1">
      <c r="A670" s="4">
        <v>44802</v>
      </c>
      <c r="B670" s="5">
        <f t="shared" si="40"/>
        <v>29</v>
      </c>
      <c r="C670" s="5">
        <f t="shared" si="41"/>
        <v>8</v>
      </c>
      <c r="D670" s="5">
        <f t="shared" si="42"/>
        <v>2022</v>
      </c>
      <c r="E670" s="5" t="str">
        <f t="shared" si="43"/>
        <v>Q3</v>
      </c>
      <c r="F670" s="5">
        <v>114.7200012</v>
      </c>
      <c r="G670" s="5">
        <v>115.1200027</v>
      </c>
      <c r="H670" s="5">
        <v>110.1900024</v>
      </c>
      <c r="I670" s="5">
        <v>110.3399963</v>
      </c>
      <c r="J670" s="5">
        <v>37245700</v>
      </c>
      <c r="K670" s="5">
        <v>109.94144439999999</v>
      </c>
    </row>
    <row r="671" spans="1:11" hidden="1">
      <c r="A671" s="4">
        <v>44803</v>
      </c>
      <c r="B671" s="5">
        <f t="shared" si="40"/>
        <v>30</v>
      </c>
      <c r="C671" s="5">
        <f t="shared" si="41"/>
        <v>8</v>
      </c>
      <c r="D671" s="5">
        <f t="shared" si="42"/>
        <v>2022</v>
      </c>
      <c r="E671" s="5" t="str">
        <f t="shared" si="43"/>
        <v>Q3</v>
      </c>
      <c r="F671" s="5">
        <v>109.98999790000001</v>
      </c>
      <c r="G671" s="5">
        <v>110.9499969</v>
      </c>
      <c r="H671" s="5">
        <v>108.8000031</v>
      </c>
      <c r="I671" s="5">
        <v>109.41999819999999</v>
      </c>
      <c r="J671" s="5">
        <v>21191200</v>
      </c>
      <c r="K671" s="5">
        <v>109.02477260000001</v>
      </c>
    </row>
    <row r="672" spans="1:11" hidden="1">
      <c r="A672" s="4">
        <v>44804</v>
      </c>
      <c r="B672" s="5">
        <f t="shared" si="40"/>
        <v>31</v>
      </c>
      <c r="C672" s="5">
        <f t="shared" si="41"/>
        <v>8</v>
      </c>
      <c r="D672" s="5">
        <f t="shared" si="42"/>
        <v>2022</v>
      </c>
      <c r="E672" s="5" t="str">
        <f t="shared" si="43"/>
        <v>Q3</v>
      </c>
      <c r="F672" s="5">
        <v>110.16999819999999</v>
      </c>
      <c r="G672" s="5">
        <v>110.5</v>
      </c>
      <c r="H672" s="5">
        <v>107.8000031</v>
      </c>
      <c r="I672" s="5">
        <v>108.9400024</v>
      </c>
      <c r="J672" s="5">
        <v>27513300</v>
      </c>
      <c r="K672" s="5">
        <v>108.5465088</v>
      </c>
    </row>
    <row r="673" spans="1:11" hidden="1">
      <c r="A673" s="4">
        <v>44805</v>
      </c>
      <c r="B673" s="5">
        <f t="shared" si="40"/>
        <v>1</v>
      </c>
      <c r="C673" s="5">
        <f t="shared" si="41"/>
        <v>9</v>
      </c>
      <c r="D673" s="5">
        <f t="shared" si="42"/>
        <v>2022</v>
      </c>
      <c r="E673" s="5" t="str">
        <f t="shared" si="43"/>
        <v>Q3</v>
      </c>
      <c r="F673" s="5">
        <v>110.6500015</v>
      </c>
      <c r="G673" s="5">
        <v>110.8499985</v>
      </c>
      <c r="H673" s="5">
        <v>108.1299973</v>
      </c>
      <c r="I673" s="5">
        <v>108.2200012</v>
      </c>
      <c r="J673" s="5">
        <v>28627000</v>
      </c>
      <c r="K673" s="5">
        <v>107.8291092</v>
      </c>
    </row>
    <row r="674" spans="1:11" hidden="1">
      <c r="A674" s="4">
        <v>44806</v>
      </c>
      <c r="B674" s="5">
        <f t="shared" si="40"/>
        <v>2</v>
      </c>
      <c r="C674" s="5">
        <f t="shared" si="41"/>
        <v>9</v>
      </c>
      <c r="D674" s="5">
        <f t="shared" si="42"/>
        <v>2022</v>
      </c>
      <c r="E674" s="5" t="str">
        <f t="shared" si="43"/>
        <v>Q3</v>
      </c>
      <c r="F674" s="5">
        <v>108.2799988</v>
      </c>
      <c r="G674" s="5">
        <v>110.4499969</v>
      </c>
      <c r="H674" s="5">
        <v>107.36000060000001</v>
      </c>
      <c r="I674" s="5">
        <v>109.73999790000001</v>
      </c>
      <c r="J674" s="5">
        <v>28360900</v>
      </c>
      <c r="K674" s="5">
        <v>109.34361269999999</v>
      </c>
    </row>
    <row r="675" spans="1:11" hidden="1">
      <c r="A675" s="4">
        <v>44810</v>
      </c>
      <c r="B675" s="5">
        <f t="shared" si="40"/>
        <v>6</v>
      </c>
      <c r="C675" s="5">
        <f t="shared" si="41"/>
        <v>9</v>
      </c>
      <c r="D675" s="5">
        <f t="shared" si="42"/>
        <v>2022</v>
      </c>
      <c r="E675" s="5" t="str">
        <f t="shared" si="43"/>
        <v>Q3</v>
      </c>
      <c r="F675" s="5">
        <v>110.5899963</v>
      </c>
      <c r="G675" s="5">
        <v>110.73999790000001</v>
      </c>
      <c r="H675" s="5">
        <v>107.26000209999999</v>
      </c>
      <c r="I675" s="5">
        <v>107.8499985</v>
      </c>
      <c r="J675" s="5">
        <v>24160700</v>
      </c>
      <c r="K675" s="5">
        <v>107.4604416</v>
      </c>
    </row>
    <row r="676" spans="1:11" hidden="1">
      <c r="A676" s="4">
        <v>44811</v>
      </c>
      <c r="B676" s="5">
        <f t="shared" si="40"/>
        <v>7</v>
      </c>
      <c r="C676" s="5">
        <f t="shared" si="41"/>
        <v>9</v>
      </c>
      <c r="D676" s="5">
        <f t="shared" si="42"/>
        <v>2022</v>
      </c>
      <c r="E676" s="5" t="str">
        <f t="shared" si="43"/>
        <v>Q3</v>
      </c>
      <c r="F676" s="5">
        <v>107.3000031</v>
      </c>
      <c r="G676" s="5">
        <v>108.0299988</v>
      </c>
      <c r="H676" s="5">
        <v>105.7799988</v>
      </c>
      <c r="I676" s="5">
        <v>106.8099976</v>
      </c>
      <c r="J676" s="5">
        <v>25068300</v>
      </c>
      <c r="K676" s="5">
        <v>106.42420199999999</v>
      </c>
    </row>
    <row r="677" spans="1:11" hidden="1">
      <c r="A677" s="4">
        <v>44812</v>
      </c>
      <c r="B677" s="5">
        <f t="shared" si="40"/>
        <v>8</v>
      </c>
      <c r="C677" s="5">
        <f t="shared" si="41"/>
        <v>9</v>
      </c>
      <c r="D677" s="5">
        <f t="shared" si="42"/>
        <v>2022</v>
      </c>
      <c r="E677" s="5" t="str">
        <f t="shared" si="43"/>
        <v>Q3</v>
      </c>
      <c r="F677" s="5">
        <v>107.0599976</v>
      </c>
      <c r="G677" s="5">
        <v>109.9800034</v>
      </c>
      <c r="H677" s="5">
        <v>106.9000015</v>
      </c>
      <c r="I677" s="5">
        <v>109.4499969</v>
      </c>
      <c r="J677" s="5">
        <v>23167000</v>
      </c>
      <c r="K677" s="5">
        <v>109.0546646</v>
      </c>
    </row>
    <row r="678" spans="1:11" hidden="1">
      <c r="A678" s="4">
        <v>44813</v>
      </c>
      <c r="B678" s="5">
        <f t="shared" si="40"/>
        <v>9</v>
      </c>
      <c r="C678" s="5">
        <f t="shared" si="41"/>
        <v>9</v>
      </c>
      <c r="D678" s="5">
        <f t="shared" si="42"/>
        <v>2022</v>
      </c>
      <c r="E678" s="5" t="str">
        <f t="shared" si="43"/>
        <v>Q3</v>
      </c>
      <c r="F678" s="5">
        <v>108.0400009</v>
      </c>
      <c r="G678" s="5">
        <v>109.5999985</v>
      </c>
      <c r="H678" s="5">
        <v>107.1600037</v>
      </c>
      <c r="I678" s="5">
        <v>108.3799973</v>
      </c>
      <c r="J678" s="5">
        <v>24238300</v>
      </c>
      <c r="K678" s="5">
        <v>107.9885254</v>
      </c>
    </row>
    <row r="679" spans="1:11" hidden="1">
      <c r="A679" s="4">
        <v>44816</v>
      </c>
      <c r="B679" s="5">
        <f t="shared" si="40"/>
        <v>12</v>
      </c>
      <c r="C679" s="5">
        <f t="shared" si="41"/>
        <v>9</v>
      </c>
      <c r="D679" s="5">
        <f t="shared" si="42"/>
        <v>2022</v>
      </c>
      <c r="E679" s="5" t="str">
        <f t="shared" si="43"/>
        <v>Q3</v>
      </c>
      <c r="F679" s="5">
        <v>109.0699997</v>
      </c>
      <c r="G679" s="5">
        <v>110.98999790000001</v>
      </c>
      <c r="H679" s="5">
        <v>109.0199966</v>
      </c>
      <c r="I679" s="5">
        <v>110.6500015</v>
      </c>
      <c r="J679" s="5">
        <v>23197700</v>
      </c>
      <c r="K679" s="5">
        <v>110.25033569999999</v>
      </c>
    </row>
    <row r="680" spans="1:11" hidden="1">
      <c r="A680" s="4">
        <v>44817</v>
      </c>
      <c r="B680" s="5">
        <f t="shared" si="40"/>
        <v>13</v>
      </c>
      <c r="C680" s="5">
        <f t="shared" si="41"/>
        <v>9</v>
      </c>
      <c r="D680" s="5">
        <f t="shared" si="42"/>
        <v>2022</v>
      </c>
      <c r="E680" s="5" t="str">
        <f t="shared" si="43"/>
        <v>Q3</v>
      </c>
      <c r="F680" s="5">
        <v>110.98999790000001</v>
      </c>
      <c r="G680" s="5">
        <v>111.6200027</v>
      </c>
      <c r="H680" s="5">
        <v>109.9300003</v>
      </c>
      <c r="I680" s="5">
        <v>110.86000060000001</v>
      </c>
      <c r="J680" s="5">
        <v>22966800</v>
      </c>
      <c r="K680" s="5">
        <v>110.4595795</v>
      </c>
    </row>
    <row r="681" spans="1:11" hidden="1">
      <c r="A681" s="4">
        <v>44818</v>
      </c>
      <c r="B681" s="5">
        <f t="shared" si="40"/>
        <v>14</v>
      </c>
      <c r="C681" s="5">
        <f t="shared" si="41"/>
        <v>9</v>
      </c>
      <c r="D681" s="5">
        <f t="shared" si="42"/>
        <v>2022</v>
      </c>
      <c r="E681" s="5" t="str">
        <f t="shared" si="43"/>
        <v>Q3</v>
      </c>
      <c r="F681" s="5">
        <v>107.8000031</v>
      </c>
      <c r="G681" s="5">
        <v>108.3000031</v>
      </c>
      <c r="H681" s="5">
        <v>104.0899963</v>
      </c>
      <c r="I681" s="5">
        <v>104.3199997</v>
      </c>
      <c r="J681" s="5">
        <v>38172900</v>
      </c>
      <c r="K681" s="5">
        <v>103.9431992</v>
      </c>
    </row>
    <row r="682" spans="1:11" hidden="1">
      <c r="A682" s="4">
        <v>44819</v>
      </c>
      <c r="B682" s="5">
        <f t="shared" si="40"/>
        <v>15</v>
      </c>
      <c r="C682" s="5">
        <f t="shared" si="41"/>
        <v>9</v>
      </c>
      <c r="D682" s="5">
        <f t="shared" si="42"/>
        <v>2022</v>
      </c>
      <c r="E682" s="5" t="str">
        <f t="shared" si="43"/>
        <v>Q3</v>
      </c>
      <c r="F682" s="5">
        <v>104.5699997</v>
      </c>
      <c r="G682" s="5">
        <v>105.2799988</v>
      </c>
      <c r="H682" s="5">
        <v>103.6600037</v>
      </c>
      <c r="I682" s="5">
        <v>105</v>
      </c>
      <c r="J682" s="5">
        <v>26395100</v>
      </c>
      <c r="K682" s="5">
        <v>104.6207428</v>
      </c>
    </row>
    <row r="683" spans="1:11" hidden="1">
      <c r="A683" s="4">
        <v>44820</v>
      </c>
      <c r="B683" s="5">
        <f t="shared" si="40"/>
        <v>16</v>
      </c>
      <c r="C683" s="5">
        <f t="shared" si="41"/>
        <v>9</v>
      </c>
      <c r="D683" s="5">
        <f t="shared" si="42"/>
        <v>2022</v>
      </c>
      <c r="E683" s="5" t="str">
        <f t="shared" si="43"/>
        <v>Q3</v>
      </c>
      <c r="F683" s="5">
        <v>104.0299988</v>
      </c>
      <c r="G683" s="5">
        <v>105.2699966</v>
      </c>
      <c r="H683" s="5">
        <v>102.3499985</v>
      </c>
      <c r="I683" s="5">
        <v>102.9100037</v>
      </c>
      <c r="J683" s="5">
        <v>34188300</v>
      </c>
      <c r="K683" s="5">
        <v>102.5382919</v>
      </c>
    </row>
    <row r="684" spans="1:11" hidden="1">
      <c r="A684" s="4">
        <v>44823</v>
      </c>
      <c r="B684" s="5">
        <f t="shared" si="40"/>
        <v>19</v>
      </c>
      <c r="C684" s="5">
        <f t="shared" si="41"/>
        <v>9</v>
      </c>
      <c r="D684" s="5">
        <f t="shared" si="42"/>
        <v>2022</v>
      </c>
      <c r="E684" s="5" t="str">
        <f t="shared" si="43"/>
        <v>Q3</v>
      </c>
      <c r="F684" s="5">
        <v>102.0699997</v>
      </c>
      <c r="G684" s="5">
        <v>103.1299973</v>
      </c>
      <c r="H684" s="5">
        <v>100.9400024</v>
      </c>
      <c r="I684" s="5">
        <v>102.8000031</v>
      </c>
      <c r="J684" s="5">
        <v>42797200</v>
      </c>
      <c r="K684" s="5">
        <v>102.42869570000001</v>
      </c>
    </row>
    <row r="685" spans="1:11" hidden="1">
      <c r="A685" s="4">
        <v>44824</v>
      </c>
      <c r="B685" s="5">
        <f t="shared" si="40"/>
        <v>20</v>
      </c>
      <c r="C685" s="5">
        <f t="shared" si="41"/>
        <v>9</v>
      </c>
      <c r="D685" s="5">
        <f t="shared" si="42"/>
        <v>2022</v>
      </c>
      <c r="E685" s="5" t="str">
        <f t="shared" si="43"/>
        <v>Q3</v>
      </c>
      <c r="F685" s="5">
        <v>101.75</v>
      </c>
      <c r="G685" s="5">
        <v>103.33000180000001</v>
      </c>
      <c r="H685" s="5">
        <v>101.5500031</v>
      </c>
      <c r="I685" s="5">
        <v>103.0699997</v>
      </c>
      <c r="J685" s="5">
        <v>23036800</v>
      </c>
      <c r="K685" s="5">
        <v>102.6977158</v>
      </c>
    </row>
    <row r="686" spans="1:11" hidden="1">
      <c r="A686" s="4">
        <v>44825</v>
      </c>
      <c r="B686" s="5">
        <f t="shared" si="40"/>
        <v>21</v>
      </c>
      <c r="C686" s="5">
        <f t="shared" si="41"/>
        <v>9</v>
      </c>
      <c r="D686" s="5">
        <f t="shared" si="42"/>
        <v>2022</v>
      </c>
      <c r="E686" s="5" t="str">
        <f t="shared" si="43"/>
        <v>Q3</v>
      </c>
      <c r="F686" s="5">
        <v>102.08000180000001</v>
      </c>
      <c r="G686" s="5">
        <v>102.3700027</v>
      </c>
      <c r="H686" s="5">
        <v>100.5199966</v>
      </c>
      <c r="I686" s="5">
        <v>101.13999939999999</v>
      </c>
      <c r="J686" s="5">
        <v>26517100</v>
      </c>
      <c r="K686" s="5">
        <v>100.7746811</v>
      </c>
    </row>
    <row r="687" spans="1:11" hidden="1">
      <c r="A687" s="4">
        <v>44826</v>
      </c>
      <c r="B687" s="5">
        <f t="shared" si="40"/>
        <v>22</v>
      </c>
      <c r="C687" s="5">
        <f t="shared" si="41"/>
        <v>9</v>
      </c>
      <c r="D687" s="5">
        <f t="shared" si="42"/>
        <v>2022</v>
      </c>
      <c r="E687" s="5" t="str">
        <f t="shared" si="43"/>
        <v>Q3</v>
      </c>
      <c r="F687" s="5">
        <v>101.66999819999999</v>
      </c>
      <c r="G687" s="5">
        <v>102.8799973</v>
      </c>
      <c r="H687" s="5">
        <v>99.269996640000002</v>
      </c>
      <c r="I687" s="5">
        <v>99.27999878</v>
      </c>
      <c r="J687" s="5">
        <v>31487300</v>
      </c>
      <c r="K687" s="5">
        <v>98.92139435</v>
      </c>
    </row>
    <row r="688" spans="1:11" hidden="1">
      <c r="A688" s="4">
        <v>44827</v>
      </c>
      <c r="B688" s="5">
        <f t="shared" si="40"/>
        <v>23</v>
      </c>
      <c r="C688" s="5">
        <f t="shared" si="41"/>
        <v>9</v>
      </c>
      <c r="D688" s="5">
        <f t="shared" si="42"/>
        <v>2022</v>
      </c>
      <c r="E688" s="5" t="str">
        <f t="shared" si="43"/>
        <v>Q3</v>
      </c>
      <c r="F688" s="5">
        <v>98.819999690000003</v>
      </c>
      <c r="G688" s="5">
        <v>101.23999790000001</v>
      </c>
      <c r="H688" s="5">
        <v>98.790000919999997</v>
      </c>
      <c r="I688" s="5">
        <v>100.13999939999999</v>
      </c>
      <c r="J688" s="5">
        <v>34298600</v>
      </c>
      <c r="K688" s="5">
        <v>99.778289790000002</v>
      </c>
    </row>
    <row r="689" spans="1:11" hidden="1">
      <c r="A689" s="4">
        <v>44830</v>
      </c>
      <c r="B689" s="5">
        <f t="shared" si="40"/>
        <v>26</v>
      </c>
      <c r="C689" s="5">
        <f t="shared" si="41"/>
        <v>9</v>
      </c>
      <c r="D689" s="5">
        <f t="shared" si="42"/>
        <v>2022</v>
      </c>
      <c r="E689" s="5" t="str">
        <f t="shared" si="43"/>
        <v>Q3</v>
      </c>
      <c r="F689" s="5">
        <v>99.629997250000002</v>
      </c>
      <c r="G689" s="5">
        <v>99.660003660000001</v>
      </c>
      <c r="H689" s="5">
        <v>97.47000122</v>
      </c>
      <c r="I689" s="5">
        <v>98.739997860000003</v>
      </c>
      <c r="J689" s="5">
        <v>31625400</v>
      </c>
      <c r="K689" s="5">
        <v>98.383346560000007</v>
      </c>
    </row>
    <row r="690" spans="1:11" hidden="1">
      <c r="A690" s="4">
        <v>44831</v>
      </c>
      <c r="B690" s="5">
        <f t="shared" si="40"/>
        <v>27</v>
      </c>
      <c r="C690" s="5">
        <f t="shared" si="41"/>
        <v>9</v>
      </c>
      <c r="D690" s="5">
        <f t="shared" si="42"/>
        <v>2022</v>
      </c>
      <c r="E690" s="5" t="str">
        <f t="shared" si="43"/>
        <v>Q3</v>
      </c>
      <c r="F690" s="5">
        <v>98.099998470000003</v>
      </c>
      <c r="G690" s="5">
        <v>99.879997250000002</v>
      </c>
      <c r="H690" s="5">
        <v>97.800003050000001</v>
      </c>
      <c r="I690" s="5">
        <v>98.16999817</v>
      </c>
      <c r="J690" s="5">
        <v>27072700</v>
      </c>
      <c r="K690" s="5">
        <v>97.815414430000004</v>
      </c>
    </row>
    <row r="691" spans="1:11" hidden="1">
      <c r="A691" s="4">
        <v>44832</v>
      </c>
      <c r="B691" s="5">
        <f t="shared" si="40"/>
        <v>28</v>
      </c>
      <c r="C691" s="5">
        <f t="shared" si="41"/>
        <v>9</v>
      </c>
      <c r="D691" s="5">
        <f t="shared" si="42"/>
        <v>2022</v>
      </c>
      <c r="E691" s="5" t="str">
        <f t="shared" si="43"/>
        <v>Q3</v>
      </c>
      <c r="F691" s="5">
        <v>99.430000309999997</v>
      </c>
      <c r="G691" s="5">
        <v>100</v>
      </c>
      <c r="H691" s="5">
        <v>96.870002749999998</v>
      </c>
      <c r="I691" s="5">
        <v>97.5</v>
      </c>
      <c r="J691" s="5">
        <v>30072800</v>
      </c>
      <c r="K691" s="5">
        <v>97.147827149999998</v>
      </c>
    </row>
    <row r="692" spans="1:11" hidden="1">
      <c r="A692" s="4">
        <v>44833</v>
      </c>
      <c r="B692" s="5">
        <f t="shared" si="40"/>
        <v>29</v>
      </c>
      <c r="C692" s="5">
        <f t="shared" si="41"/>
        <v>9</v>
      </c>
      <c r="D692" s="5">
        <f t="shared" si="42"/>
        <v>2022</v>
      </c>
      <c r="E692" s="5" t="str">
        <f t="shared" si="43"/>
        <v>Q3</v>
      </c>
      <c r="F692" s="5">
        <v>97.650001529999997</v>
      </c>
      <c r="G692" s="5">
        <v>100.6999969</v>
      </c>
      <c r="H692" s="5">
        <v>97.11000061</v>
      </c>
      <c r="I692" s="5">
        <v>100.0500031</v>
      </c>
      <c r="J692" s="5">
        <v>32466300</v>
      </c>
      <c r="K692" s="5">
        <v>99.688629149999997</v>
      </c>
    </row>
    <row r="693" spans="1:11" hidden="1">
      <c r="A693" s="4">
        <v>44834</v>
      </c>
      <c r="B693" s="5">
        <f t="shared" si="40"/>
        <v>30</v>
      </c>
      <c r="C693" s="5">
        <f t="shared" si="41"/>
        <v>9</v>
      </c>
      <c r="D693" s="5">
        <f t="shared" si="42"/>
        <v>2022</v>
      </c>
      <c r="E693" s="5" t="str">
        <f t="shared" si="43"/>
        <v>Q3</v>
      </c>
      <c r="F693" s="5">
        <v>98.63999939</v>
      </c>
      <c r="G693" s="5">
        <v>98.63999939</v>
      </c>
      <c r="H693" s="5">
        <v>95.959999080000003</v>
      </c>
      <c r="I693" s="5">
        <v>97.41999817</v>
      </c>
      <c r="J693" s="5">
        <v>31047200</v>
      </c>
      <c r="K693" s="5">
        <v>97.068115230000004</v>
      </c>
    </row>
    <row r="694" spans="1:11" hidden="1">
      <c r="A694" s="4">
        <v>44837</v>
      </c>
      <c r="B694" s="5">
        <f t="shared" si="40"/>
        <v>3</v>
      </c>
      <c r="C694" s="5">
        <f t="shared" si="41"/>
        <v>10</v>
      </c>
      <c r="D694" s="5">
        <f t="shared" si="42"/>
        <v>2022</v>
      </c>
      <c r="E694" s="5" t="str">
        <f t="shared" si="43"/>
        <v>Q4</v>
      </c>
      <c r="F694" s="5">
        <v>97.050003050000001</v>
      </c>
      <c r="G694" s="5">
        <v>98.900001529999997</v>
      </c>
      <c r="H694" s="5">
        <v>95.559997559999999</v>
      </c>
      <c r="I694" s="5">
        <v>95.650001529999997</v>
      </c>
      <c r="J694" s="5">
        <v>32941500</v>
      </c>
      <c r="K694" s="5">
        <v>95.304512020000004</v>
      </c>
    </row>
    <row r="695" spans="1:11" hidden="1">
      <c r="A695" s="4">
        <v>44838</v>
      </c>
      <c r="B695" s="5">
        <f t="shared" si="40"/>
        <v>4</v>
      </c>
      <c r="C695" s="5">
        <f t="shared" si="41"/>
        <v>10</v>
      </c>
      <c r="D695" s="5">
        <f t="shared" si="42"/>
        <v>2022</v>
      </c>
      <c r="E695" s="5" t="str">
        <f t="shared" si="43"/>
        <v>Q4</v>
      </c>
      <c r="F695" s="5">
        <v>96.760002139999997</v>
      </c>
      <c r="G695" s="5">
        <v>99.290000919999997</v>
      </c>
      <c r="H695" s="5">
        <v>96.519996640000002</v>
      </c>
      <c r="I695" s="5">
        <v>98.63999939</v>
      </c>
      <c r="J695" s="5">
        <v>27982000</v>
      </c>
      <c r="K695" s="5">
        <v>98.283706670000001</v>
      </c>
    </row>
    <row r="696" spans="1:11" hidden="1">
      <c r="A696" s="4">
        <v>44839</v>
      </c>
      <c r="B696" s="5">
        <f t="shared" si="40"/>
        <v>5</v>
      </c>
      <c r="C696" s="5">
        <f t="shared" si="41"/>
        <v>10</v>
      </c>
      <c r="D696" s="5">
        <f t="shared" si="42"/>
        <v>2022</v>
      </c>
      <c r="E696" s="5" t="str">
        <f t="shared" si="43"/>
        <v>Q4</v>
      </c>
      <c r="F696" s="5">
        <v>100.4400024</v>
      </c>
      <c r="G696" s="5">
        <v>101.8399963</v>
      </c>
      <c r="H696" s="5">
        <v>100.3799973</v>
      </c>
      <c r="I696" s="5">
        <v>101.63999939999999</v>
      </c>
      <c r="J696" s="5">
        <v>28850800</v>
      </c>
      <c r="K696" s="5">
        <v>101.2728729</v>
      </c>
    </row>
    <row r="697" spans="1:11" hidden="1">
      <c r="A697" s="4">
        <v>44840</v>
      </c>
      <c r="B697" s="5">
        <f t="shared" si="40"/>
        <v>6</v>
      </c>
      <c r="C697" s="5">
        <f t="shared" si="41"/>
        <v>10</v>
      </c>
      <c r="D697" s="5">
        <f t="shared" si="42"/>
        <v>2022</v>
      </c>
      <c r="E697" s="5" t="str">
        <f t="shared" si="43"/>
        <v>Q4</v>
      </c>
      <c r="F697" s="5">
        <v>99.83000183</v>
      </c>
      <c r="G697" s="5">
        <v>101.9300003</v>
      </c>
      <c r="H697" s="5">
        <v>98.800003050000001</v>
      </c>
      <c r="I697" s="5">
        <v>101.4300003</v>
      </c>
      <c r="J697" s="5">
        <v>22176900</v>
      </c>
      <c r="K697" s="5">
        <v>101.0636368</v>
      </c>
    </row>
    <row r="698" spans="1:11" hidden="1">
      <c r="A698" s="4">
        <v>44841</v>
      </c>
      <c r="B698" s="5">
        <f t="shared" si="40"/>
        <v>7</v>
      </c>
      <c r="C698" s="5">
        <f t="shared" si="41"/>
        <v>10</v>
      </c>
      <c r="D698" s="5">
        <f t="shared" si="42"/>
        <v>2022</v>
      </c>
      <c r="E698" s="5" t="str">
        <f t="shared" si="43"/>
        <v>Q4</v>
      </c>
      <c r="F698" s="5">
        <v>100.6800003</v>
      </c>
      <c r="G698" s="5">
        <v>102.9300003</v>
      </c>
      <c r="H698" s="5">
        <v>100.5899963</v>
      </c>
      <c r="I698" s="5">
        <v>101.41999819999999</v>
      </c>
      <c r="J698" s="5">
        <v>22324000</v>
      </c>
      <c r="K698" s="5">
        <v>101.0536652</v>
      </c>
    </row>
    <row r="699" spans="1:11" hidden="1">
      <c r="A699" s="4">
        <v>44844</v>
      </c>
      <c r="B699" s="5">
        <f t="shared" si="40"/>
        <v>10</v>
      </c>
      <c r="C699" s="5">
        <f t="shared" si="41"/>
        <v>10</v>
      </c>
      <c r="D699" s="5">
        <f t="shared" si="42"/>
        <v>2022</v>
      </c>
      <c r="E699" s="5" t="str">
        <f t="shared" si="43"/>
        <v>Q4</v>
      </c>
      <c r="F699" s="5">
        <v>99.849998470000003</v>
      </c>
      <c r="G699" s="5">
        <v>100.5299988</v>
      </c>
      <c r="H699" s="5">
        <v>98.300003050000001</v>
      </c>
      <c r="I699" s="5">
        <v>98.680000309999997</v>
      </c>
      <c r="J699" s="5">
        <v>27502800</v>
      </c>
      <c r="K699" s="5">
        <v>98.323562620000004</v>
      </c>
    </row>
    <row r="700" spans="1:11" hidden="1">
      <c r="A700" s="4">
        <v>44845</v>
      </c>
      <c r="B700" s="5">
        <f t="shared" si="40"/>
        <v>11</v>
      </c>
      <c r="C700" s="5">
        <f t="shared" si="41"/>
        <v>10</v>
      </c>
      <c r="D700" s="5">
        <f t="shared" si="42"/>
        <v>2022</v>
      </c>
      <c r="E700" s="5" t="str">
        <f t="shared" si="43"/>
        <v>Q4</v>
      </c>
      <c r="F700" s="5">
        <v>99</v>
      </c>
      <c r="G700" s="5">
        <v>99.099998470000003</v>
      </c>
      <c r="H700" s="5">
        <v>97.010002139999997</v>
      </c>
      <c r="I700" s="5">
        <v>97.86000061</v>
      </c>
      <c r="J700" s="5">
        <v>18225100</v>
      </c>
      <c r="K700" s="5">
        <v>97.506530760000004</v>
      </c>
    </row>
    <row r="701" spans="1:11" hidden="1">
      <c r="A701" s="4">
        <v>44846</v>
      </c>
      <c r="B701" s="5">
        <f t="shared" si="40"/>
        <v>12</v>
      </c>
      <c r="C701" s="5">
        <f t="shared" si="41"/>
        <v>10</v>
      </c>
      <c r="D701" s="5">
        <f t="shared" si="42"/>
        <v>2022</v>
      </c>
      <c r="E701" s="5" t="str">
        <f t="shared" si="43"/>
        <v>Q4</v>
      </c>
      <c r="F701" s="5">
        <v>97.430000309999997</v>
      </c>
      <c r="G701" s="5">
        <v>99.25</v>
      </c>
      <c r="H701" s="5">
        <v>96.309997559999999</v>
      </c>
      <c r="I701" s="5">
        <v>97.180000309999997</v>
      </c>
      <c r="J701" s="5">
        <v>26507100</v>
      </c>
      <c r="K701" s="5">
        <v>96.828987119999994</v>
      </c>
    </row>
    <row r="702" spans="1:11" hidden="1">
      <c r="A702" s="4">
        <v>44847</v>
      </c>
      <c r="B702" s="5">
        <f t="shared" si="40"/>
        <v>13</v>
      </c>
      <c r="C702" s="5">
        <f t="shared" si="41"/>
        <v>10</v>
      </c>
      <c r="D702" s="5">
        <f t="shared" si="42"/>
        <v>2022</v>
      </c>
      <c r="E702" s="5" t="str">
        <f t="shared" si="43"/>
        <v>Q4</v>
      </c>
      <c r="F702" s="5">
        <v>97.300003050000001</v>
      </c>
      <c r="G702" s="5">
        <v>98.75</v>
      </c>
      <c r="H702" s="5">
        <v>96.739997860000003</v>
      </c>
      <c r="I702" s="5">
        <v>97.559997559999999</v>
      </c>
      <c r="J702" s="5">
        <v>21876400</v>
      </c>
      <c r="K702" s="5">
        <v>97.207611080000007</v>
      </c>
    </row>
    <row r="703" spans="1:11" hidden="1">
      <c r="A703" s="4">
        <v>44848</v>
      </c>
      <c r="B703" s="5">
        <f t="shared" si="40"/>
        <v>14</v>
      </c>
      <c r="C703" s="5">
        <f t="shared" si="41"/>
        <v>10</v>
      </c>
      <c r="D703" s="5">
        <f t="shared" si="42"/>
        <v>2022</v>
      </c>
      <c r="E703" s="5" t="str">
        <f t="shared" si="43"/>
        <v>Q4</v>
      </c>
      <c r="F703" s="5">
        <v>95.150001529999997</v>
      </c>
      <c r="G703" s="5">
        <v>99.77999878</v>
      </c>
      <c r="H703" s="5">
        <v>94.379997250000002</v>
      </c>
      <c r="I703" s="5">
        <v>99.059997559999999</v>
      </c>
      <c r="J703" s="5">
        <v>34574500</v>
      </c>
      <c r="K703" s="5">
        <v>98.702186580000003</v>
      </c>
    </row>
    <row r="704" spans="1:11" hidden="1">
      <c r="A704" s="4">
        <v>44851</v>
      </c>
      <c r="B704" s="5">
        <f t="shared" si="40"/>
        <v>17</v>
      </c>
      <c r="C704" s="5">
        <f t="shared" si="41"/>
        <v>10</v>
      </c>
      <c r="D704" s="5">
        <f t="shared" si="42"/>
        <v>2022</v>
      </c>
      <c r="E704" s="5" t="str">
        <f t="shared" si="43"/>
        <v>Q4</v>
      </c>
      <c r="F704" s="5">
        <v>99.989997860000003</v>
      </c>
      <c r="G704" s="5">
        <v>100.6900024</v>
      </c>
      <c r="H704" s="5">
        <v>96.370002749999998</v>
      </c>
      <c r="I704" s="5">
        <v>96.559997559999999</v>
      </c>
      <c r="J704" s="5">
        <v>25410700</v>
      </c>
      <c r="K704" s="5">
        <v>96.211219790000001</v>
      </c>
    </row>
    <row r="705" spans="1:11" hidden="1">
      <c r="A705" s="4">
        <v>44852</v>
      </c>
      <c r="B705" s="5">
        <f t="shared" si="40"/>
        <v>18</v>
      </c>
      <c r="C705" s="5">
        <f t="shared" si="41"/>
        <v>10</v>
      </c>
      <c r="D705" s="5">
        <f t="shared" si="42"/>
        <v>2022</v>
      </c>
      <c r="E705" s="5" t="str">
        <f t="shared" si="43"/>
        <v>Q4</v>
      </c>
      <c r="F705" s="5">
        <v>98.86000061</v>
      </c>
      <c r="G705" s="5">
        <v>100.9300003</v>
      </c>
      <c r="H705" s="5">
        <v>98.83000183</v>
      </c>
      <c r="I705" s="5">
        <v>99.97000122</v>
      </c>
      <c r="J705" s="5">
        <v>28419200</v>
      </c>
      <c r="K705" s="5">
        <v>99.608917239999997</v>
      </c>
    </row>
    <row r="706" spans="1:11" hidden="1">
      <c r="A706" s="4">
        <v>44853</v>
      </c>
      <c r="B706" s="5">
        <f t="shared" ref="B706:B769" si="44">DAY(A706)</f>
        <v>19</v>
      </c>
      <c r="C706" s="5">
        <f t="shared" ref="C706:C769" si="45">MONTH(A706)</f>
        <v>10</v>
      </c>
      <c r="D706" s="5">
        <f t="shared" ref="D706:D769" si="46">YEAR(A706)</f>
        <v>2022</v>
      </c>
      <c r="E706" s="5" t="str">
        <f t="shared" ref="E706:E769" si="47">"Q"&amp;ROUNDUP(MONTH(A706)/3,0)</f>
        <v>Q4</v>
      </c>
      <c r="F706" s="5">
        <v>103.1299973</v>
      </c>
      <c r="G706" s="5">
        <v>103.4700012</v>
      </c>
      <c r="H706" s="5">
        <v>99.97000122</v>
      </c>
      <c r="I706" s="5">
        <v>100.7699966</v>
      </c>
      <c r="J706" s="5">
        <v>24060700</v>
      </c>
      <c r="K706" s="5">
        <v>100.4060211</v>
      </c>
    </row>
    <row r="707" spans="1:11" hidden="1">
      <c r="A707" s="4">
        <v>44854</v>
      </c>
      <c r="B707" s="5">
        <f t="shared" si="44"/>
        <v>20</v>
      </c>
      <c r="C707" s="5">
        <f t="shared" si="45"/>
        <v>10</v>
      </c>
      <c r="D707" s="5">
        <f t="shared" si="46"/>
        <v>2022</v>
      </c>
      <c r="E707" s="5" t="str">
        <f t="shared" si="47"/>
        <v>Q4</v>
      </c>
      <c r="F707" s="5">
        <v>100.01000209999999</v>
      </c>
      <c r="G707" s="5">
        <v>101.0199966</v>
      </c>
      <c r="H707" s="5">
        <v>98.91999817</v>
      </c>
      <c r="I707" s="5">
        <v>99.629997250000002</v>
      </c>
      <c r="J707" s="5">
        <v>23811100</v>
      </c>
      <c r="K707" s="5">
        <v>99.270141600000002</v>
      </c>
    </row>
    <row r="708" spans="1:11" hidden="1">
      <c r="A708" s="4">
        <v>44855</v>
      </c>
      <c r="B708" s="5">
        <f t="shared" si="44"/>
        <v>21</v>
      </c>
      <c r="C708" s="5">
        <f t="shared" si="45"/>
        <v>10</v>
      </c>
      <c r="D708" s="5">
        <f t="shared" si="46"/>
        <v>2022</v>
      </c>
      <c r="E708" s="5" t="str">
        <f t="shared" si="47"/>
        <v>Q4</v>
      </c>
      <c r="F708" s="5">
        <v>100</v>
      </c>
      <c r="G708" s="5">
        <v>102.3199997</v>
      </c>
      <c r="H708" s="5">
        <v>99.38999939</v>
      </c>
      <c r="I708" s="5">
        <v>99.97000122</v>
      </c>
      <c r="J708" s="5">
        <v>25323200</v>
      </c>
      <c r="K708" s="5">
        <v>99.608917239999997</v>
      </c>
    </row>
    <row r="709" spans="1:11" hidden="1">
      <c r="A709" s="4">
        <v>44858</v>
      </c>
      <c r="B709" s="5">
        <f t="shared" si="44"/>
        <v>24</v>
      </c>
      <c r="C709" s="5">
        <f t="shared" si="45"/>
        <v>10</v>
      </c>
      <c r="D709" s="5">
        <f t="shared" si="46"/>
        <v>2022</v>
      </c>
      <c r="E709" s="5" t="str">
        <f t="shared" si="47"/>
        <v>Q4</v>
      </c>
      <c r="F709" s="5">
        <v>97.849998470000003</v>
      </c>
      <c r="G709" s="5">
        <v>101.3099976</v>
      </c>
      <c r="H709" s="5">
        <v>97.72000122</v>
      </c>
      <c r="I709" s="5">
        <v>101.1299973</v>
      </c>
      <c r="J709" s="5">
        <v>32458700</v>
      </c>
      <c r="K709" s="5">
        <v>100.7647171</v>
      </c>
    </row>
    <row r="710" spans="1:11" hidden="1">
      <c r="A710" s="4">
        <v>44859</v>
      </c>
      <c r="B710" s="5">
        <f t="shared" si="44"/>
        <v>25</v>
      </c>
      <c r="C710" s="5">
        <f t="shared" si="45"/>
        <v>10</v>
      </c>
      <c r="D710" s="5">
        <f t="shared" si="46"/>
        <v>2022</v>
      </c>
      <c r="E710" s="5" t="str">
        <f t="shared" si="47"/>
        <v>Q4</v>
      </c>
      <c r="F710" s="5">
        <v>101.8000031</v>
      </c>
      <c r="G710" s="5">
        <v>102.75</v>
      </c>
      <c r="H710" s="5">
        <v>99.980003359999998</v>
      </c>
      <c r="I710" s="5">
        <v>102.5199966</v>
      </c>
      <c r="J710" s="5">
        <v>27176400</v>
      </c>
      <c r="K710" s="5">
        <v>102.1496964</v>
      </c>
    </row>
    <row r="711" spans="1:11" hidden="1">
      <c r="A711" s="4">
        <v>44860</v>
      </c>
      <c r="B711" s="5">
        <f t="shared" si="44"/>
        <v>26</v>
      </c>
      <c r="C711" s="5">
        <f t="shared" si="45"/>
        <v>10</v>
      </c>
      <c r="D711" s="5">
        <f t="shared" si="46"/>
        <v>2022</v>
      </c>
      <c r="E711" s="5" t="str">
        <f t="shared" si="47"/>
        <v>Q4</v>
      </c>
      <c r="F711" s="5">
        <v>102.9000015</v>
      </c>
      <c r="G711" s="5">
        <v>104.8199997</v>
      </c>
      <c r="H711" s="5">
        <v>102.7200012</v>
      </c>
      <c r="I711" s="5">
        <v>104.4800034</v>
      </c>
      <c r="J711" s="5">
        <v>40611400</v>
      </c>
      <c r="K711" s="5">
        <v>104.10262299999999</v>
      </c>
    </row>
    <row r="712" spans="1:11" hidden="1">
      <c r="A712" s="4">
        <v>44861</v>
      </c>
      <c r="B712" s="5">
        <f t="shared" si="44"/>
        <v>27</v>
      </c>
      <c r="C712" s="5">
        <f t="shared" si="45"/>
        <v>10</v>
      </c>
      <c r="D712" s="5">
        <f t="shared" si="46"/>
        <v>2022</v>
      </c>
      <c r="E712" s="5" t="str">
        <f t="shared" si="47"/>
        <v>Q4</v>
      </c>
      <c r="F712" s="5">
        <v>96.430000309999997</v>
      </c>
      <c r="G712" s="5">
        <v>98.309997559999999</v>
      </c>
      <c r="H712" s="5">
        <v>94.690002440000001</v>
      </c>
      <c r="I712" s="5">
        <v>94.930000309999997</v>
      </c>
      <c r="J712" s="5">
        <v>88114100</v>
      </c>
      <c r="K712" s="5">
        <v>94.587112430000005</v>
      </c>
    </row>
    <row r="713" spans="1:11" hidden="1">
      <c r="A713" s="4">
        <v>44862</v>
      </c>
      <c r="B713" s="5">
        <f t="shared" si="44"/>
        <v>28</v>
      </c>
      <c r="C713" s="5">
        <f t="shared" si="45"/>
        <v>10</v>
      </c>
      <c r="D713" s="5">
        <f t="shared" si="46"/>
        <v>2022</v>
      </c>
      <c r="E713" s="5" t="str">
        <f t="shared" si="47"/>
        <v>Q4</v>
      </c>
      <c r="F713" s="5">
        <v>94.519996640000002</v>
      </c>
      <c r="G713" s="5">
        <v>95.430000309999997</v>
      </c>
      <c r="H713" s="5">
        <v>91.800003050000001</v>
      </c>
      <c r="I713" s="5">
        <v>92.22000122</v>
      </c>
      <c r="J713" s="5">
        <v>60710900</v>
      </c>
      <c r="K713" s="5">
        <v>91.886901859999995</v>
      </c>
    </row>
    <row r="714" spans="1:11" hidden="1">
      <c r="A714" s="4">
        <v>44865</v>
      </c>
      <c r="B714" s="5">
        <f t="shared" si="44"/>
        <v>31</v>
      </c>
      <c r="C714" s="5">
        <f t="shared" si="45"/>
        <v>10</v>
      </c>
      <c r="D714" s="5">
        <f t="shared" si="46"/>
        <v>2022</v>
      </c>
      <c r="E714" s="5" t="str">
        <f t="shared" si="47"/>
        <v>Q4</v>
      </c>
      <c r="F714" s="5">
        <v>92.269996640000002</v>
      </c>
      <c r="G714" s="5">
        <v>96.550003050000001</v>
      </c>
      <c r="H714" s="5">
        <v>92.129997250000002</v>
      </c>
      <c r="I714" s="5">
        <v>96.290000919999997</v>
      </c>
      <c r="J714" s="5">
        <v>43697300</v>
      </c>
      <c r="K714" s="5">
        <v>95.942199709999997</v>
      </c>
    </row>
    <row r="715" spans="1:11" hidden="1">
      <c r="A715" s="4">
        <v>44866</v>
      </c>
      <c r="B715" s="5">
        <f t="shared" si="44"/>
        <v>1</v>
      </c>
      <c r="C715" s="5">
        <f t="shared" si="45"/>
        <v>11</v>
      </c>
      <c r="D715" s="5">
        <f t="shared" si="46"/>
        <v>2022</v>
      </c>
      <c r="E715" s="5" t="str">
        <f t="shared" si="47"/>
        <v>Q4</v>
      </c>
      <c r="F715" s="5">
        <v>95.41999817</v>
      </c>
      <c r="G715" s="5">
        <v>96.02999878</v>
      </c>
      <c r="H715" s="5">
        <v>93.980003359999998</v>
      </c>
      <c r="I715" s="5">
        <v>94.510002139999997</v>
      </c>
      <c r="J715" s="5">
        <v>31675000</v>
      </c>
      <c r="K715" s="5">
        <v>94.168632509999995</v>
      </c>
    </row>
    <row r="716" spans="1:11" hidden="1">
      <c r="A716" s="4">
        <v>44867</v>
      </c>
      <c r="B716" s="5">
        <f t="shared" si="44"/>
        <v>2</v>
      </c>
      <c r="C716" s="5">
        <f t="shared" si="45"/>
        <v>11</v>
      </c>
      <c r="D716" s="5">
        <f t="shared" si="46"/>
        <v>2022</v>
      </c>
      <c r="E716" s="5" t="str">
        <f t="shared" si="47"/>
        <v>Q4</v>
      </c>
      <c r="F716" s="5">
        <v>95.449996949999999</v>
      </c>
      <c r="G716" s="5">
        <v>96.02999878</v>
      </c>
      <c r="H716" s="5">
        <v>90.370002749999998</v>
      </c>
      <c r="I716" s="5">
        <v>90.47000122</v>
      </c>
      <c r="J716" s="5">
        <v>47161400</v>
      </c>
      <c r="K716" s="5">
        <v>90.143226619999993</v>
      </c>
    </row>
    <row r="717" spans="1:11" hidden="1">
      <c r="A717" s="4">
        <v>44868</v>
      </c>
      <c r="B717" s="5">
        <f t="shared" si="44"/>
        <v>3</v>
      </c>
      <c r="C717" s="5">
        <f t="shared" si="45"/>
        <v>11</v>
      </c>
      <c r="D717" s="5">
        <f t="shared" si="46"/>
        <v>2022</v>
      </c>
      <c r="E717" s="5" t="str">
        <f t="shared" si="47"/>
        <v>Q4</v>
      </c>
      <c r="F717" s="5">
        <v>90.940002440000001</v>
      </c>
      <c r="G717" s="5">
        <v>91.180000309999997</v>
      </c>
      <c r="H717" s="5">
        <v>86.879997250000002</v>
      </c>
      <c r="I717" s="5">
        <v>86.97000122</v>
      </c>
      <c r="J717" s="5">
        <v>57038300</v>
      </c>
      <c r="K717" s="5">
        <v>86.655860899999993</v>
      </c>
    </row>
    <row r="718" spans="1:11" hidden="1">
      <c r="A718" s="4">
        <v>44869</v>
      </c>
      <c r="B718" s="5">
        <f t="shared" si="44"/>
        <v>4</v>
      </c>
      <c r="C718" s="5">
        <f t="shared" si="45"/>
        <v>11</v>
      </c>
      <c r="D718" s="5">
        <f t="shared" si="46"/>
        <v>2022</v>
      </c>
      <c r="E718" s="5" t="str">
        <f t="shared" si="47"/>
        <v>Q4</v>
      </c>
      <c r="F718" s="5">
        <v>86.319999690000003</v>
      </c>
      <c r="G718" s="5">
        <v>86.519996640000002</v>
      </c>
      <c r="H718" s="5">
        <v>83.339996339999999</v>
      </c>
      <c r="I718" s="5">
        <v>83.430000309999997</v>
      </c>
      <c r="J718" s="5">
        <v>61288000</v>
      </c>
      <c r="K718" s="5">
        <v>83.128654479999994</v>
      </c>
    </row>
    <row r="719" spans="1:11" hidden="1">
      <c r="A719" s="4">
        <v>44872</v>
      </c>
      <c r="B719" s="5">
        <f t="shared" si="44"/>
        <v>7</v>
      </c>
      <c r="C719" s="5">
        <f t="shared" si="45"/>
        <v>11</v>
      </c>
      <c r="D719" s="5">
        <f t="shared" si="46"/>
        <v>2022</v>
      </c>
      <c r="E719" s="5" t="str">
        <f t="shared" si="47"/>
        <v>Q4</v>
      </c>
      <c r="F719" s="5">
        <v>85.400001529999997</v>
      </c>
      <c r="G719" s="5">
        <v>86.63999939</v>
      </c>
      <c r="H719" s="5">
        <v>83.709999080000003</v>
      </c>
      <c r="I719" s="5">
        <v>86.58000183</v>
      </c>
      <c r="J719" s="5">
        <v>51124900</v>
      </c>
      <c r="K719" s="5">
        <v>86.267280580000005</v>
      </c>
    </row>
    <row r="720" spans="1:11" hidden="1">
      <c r="A720" s="4">
        <v>44873</v>
      </c>
      <c r="B720" s="5">
        <f t="shared" si="44"/>
        <v>8</v>
      </c>
      <c r="C720" s="5">
        <f t="shared" si="45"/>
        <v>11</v>
      </c>
      <c r="D720" s="5">
        <f t="shared" si="46"/>
        <v>2022</v>
      </c>
      <c r="E720" s="5" t="str">
        <f t="shared" si="47"/>
        <v>Q4</v>
      </c>
      <c r="F720" s="5">
        <v>87.27999878</v>
      </c>
      <c r="G720" s="5">
        <v>88.900001529999997</v>
      </c>
      <c r="H720" s="5">
        <v>86.849998470000003</v>
      </c>
      <c r="I720" s="5">
        <v>88.489997860000003</v>
      </c>
      <c r="J720" s="5">
        <v>34078900</v>
      </c>
      <c r="K720" s="5">
        <v>88.170372009999994</v>
      </c>
    </row>
    <row r="721" spans="1:11" hidden="1">
      <c r="A721" s="4">
        <v>44874</v>
      </c>
      <c r="B721" s="5">
        <f t="shared" si="44"/>
        <v>9</v>
      </c>
      <c r="C721" s="5">
        <f t="shared" si="45"/>
        <v>11</v>
      </c>
      <c r="D721" s="5">
        <f t="shared" si="46"/>
        <v>2022</v>
      </c>
      <c r="E721" s="5" t="str">
        <f t="shared" si="47"/>
        <v>Q4</v>
      </c>
      <c r="F721" s="5">
        <v>88.900001529999997</v>
      </c>
      <c r="G721" s="5">
        <v>90.319999690000003</v>
      </c>
      <c r="H721" s="5">
        <v>87.589996339999999</v>
      </c>
      <c r="I721" s="5">
        <v>88.900001529999997</v>
      </c>
      <c r="J721" s="5">
        <v>30429000</v>
      </c>
      <c r="K721" s="5">
        <v>88.57889557</v>
      </c>
    </row>
    <row r="722" spans="1:11" hidden="1">
      <c r="A722" s="4">
        <v>44875</v>
      </c>
      <c r="B722" s="5">
        <f t="shared" si="44"/>
        <v>10</v>
      </c>
      <c r="C722" s="5">
        <f t="shared" si="45"/>
        <v>11</v>
      </c>
      <c r="D722" s="5">
        <f t="shared" si="46"/>
        <v>2022</v>
      </c>
      <c r="E722" s="5" t="str">
        <f t="shared" si="47"/>
        <v>Q4</v>
      </c>
      <c r="F722" s="5">
        <v>88.449996949999999</v>
      </c>
      <c r="G722" s="5">
        <v>89.440002440000001</v>
      </c>
      <c r="H722" s="5">
        <v>87.27999878</v>
      </c>
      <c r="I722" s="5">
        <v>87.319999690000003</v>
      </c>
      <c r="J722" s="5">
        <v>31769100</v>
      </c>
      <c r="K722" s="5">
        <v>87.004600519999997</v>
      </c>
    </row>
    <row r="723" spans="1:11" hidden="1">
      <c r="A723" s="4">
        <v>44876</v>
      </c>
      <c r="B723" s="5">
        <f t="shared" si="44"/>
        <v>11</v>
      </c>
      <c r="C723" s="5">
        <f t="shared" si="45"/>
        <v>11</v>
      </c>
      <c r="D723" s="5">
        <f t="shared" si="46"/>
        <v>2022</v>
      </c>
      <c r="E723" s="5" t="str">
        <f t="shared" si="47"/>
        <v>Q4</v>
      </c>
      <c r="F723" s="5">
        <v>92.25</v>
      </c>
      <c r="G723" s="5">
        <v>94.38999939</v>
      </c>
      <c r="H723" s="5">
        <v>91.61000061</v>
      </c>
      <c r="I723" s="5">
        <v>93.940002440000001</v>
      </c>
      <c r="J723" s="5">
        <v>51620100</v>
      </c>
      <c r="K723" s="5">
        <v>93.600700380000006</v>
      </c>
    </row>
    <row r="724" spans="1:11" hidden="1">
      <c r="A724" s="4">
        <v>44879</v>
      </c>
      <c r="B724" s="5">
        <f t="shared" si="44"/>
        <v>14</v>
      </c>
      <c r="C724" s="5">
        <f t="shared" si="45"/>
        <v>11</v>
      </c>
      <c r="D724" s="5">
        <f t="shared" si="46"/>
        <v>2022</v>
      </c>
      <c r="E724" s="5" t="str">
        <f t="shared" si="47"/>
        <v>Q4</v>
      </c>
      <c r="F724" s="5">
        <v>94.690002440000001</v>
      </c>
      <c r="G724" s="5">
        <v>96.930000309999997</v>
      </c>
      <c r="H724" s="5">
        <v>93.91999817</v>
      </c>
      <c r="I724" s="5">
        <v>96.410003660000001</v>
      </c>
      <c r="J724" s="5">
        <v>33090500</v>
      </c>
      <c r="K724" s="5">
        <v>96.061767579999994</v>
      </c>
    </row>
    <row r="725" spans="1:11" hidden="1">
      <c r="A725" s="4">
        <v>44880</v>
      </c>
      <c r="B725" s="5">
        <f t="shared" si="44"/>
        <v>15</v>
      </c>
      <c r="C725" s="5">
        <f t="shared" si="45"/>
        <v>11</v>
      </c>
      <c r="D725" s="5">
        <f t="shared" si="46"/>
        <v>2022</v>
      </c>
      <c r="E725" s="5" t="str">
        <f t="shared" si="47"/>
        <v>Q4</v>
      </c>
      <c r="F725" s="5">
        <v>95.089996339999999</v>
      </c>
      <c r="G725" s="5">
        <v>96.790000919999997</v>
      </c>
      <c r="H725" s="5">
        <v>94.510002139999997</v>
      </c>
      <c r="I725" s="5">
        <v>95.699996949999999</v>
      </c>
      <c r="J725" s="5">
        <v>30179500</v>
      </c>
      <c r="K725" s="5">
        <v>95.354331970000004</v>
      </c>
    </row>
    <row r="726" spans="1:11" hidden="1">
      <c r="A726" s="4">
        <v>44881</v>
      </c>
      <c r="B726" s="5">
        <f t="shared" si="44"/>
        <v>16</v>
      </c>
      <c r="C726" s="5">
        <f t="shared" si="45"/>
        <v>11</v>
      </c>
      <c r="D726" s="5">
        <f t="shared" si="46"/>
        <v>2022</v>
      </c>
      <c r="E726" s="5" t="str">
        <f t="shared" si="47"/>
        <v>Q4</v>
      </c>
      <c r="F726" s="5">
        <v>98.260002139999997</v>
      </c>
      <c r="G726" s="5">
        <v>100.13999939999999</v>
      </c>
      <c r="H726" s="5">
        <v>96.709999080000003</v>
      </c>
      <c r="I726" s="5">
        <v>98.440002440000001</v>
      </c>
      <c r="J726" s="5">
        <v>41640800</v>
      </c>
      <c r="K726" s="5">
        <v>98.084434509999994</v>
      </c>
    </row>
    <row r="727" spans="1:11" hidden="1">
      <c r="A727" s="4">
        <v>44882</v>
      </c>
      <c r="B727" s="5">
        <f t="shared" si="44"/>
        <v>17</v>
      </c>
      <c r="C727" s="5">
        <f t="shared" si="45"/>
        <v>11</v>
      </c>
      <c r="D727" s="5">
        <f t="shared" si="46"/>
        <v>2022</v>
      </c>
      <c r="E727" s="5" t="str">
        <f t="shared" si="47"/>
        <v>Q4</v>
      </c>
      <c r="F727" s="5">
        <v>97.900001529999997</v>
      </c>
      <c r="G727" s="5">
        <v>99.63999939</v>
      </c>
      <c r="H727" s="5">
        <v>97.63999939</v>
      </c>
      <c r="I727" s="5">
        <v>98.849998470000003</v>
      </c>
      <c r="J727" s="5">
        <v>29105200</v>
      </c>
      <c r="K727" s="5">
        <v>98.49295807</v>
      </c>
    </row>
    <row r="728" spans="1:11" hidden="1">
      <c r="A728" s="4">
        <v>44883</v>
      </c>
      <c r="B728" s="5">
        <f t="shared" si="44"/>
        <v>18</v>
      </c>
      <c r="C728" s="5">
        <f t="shared" si="45"/>
        <v>11</v>
      </c>
      <c r="D728" s="5">
        <f t="shared" si="46"/>
        <v>2022</v>
      </c>
      <c r="E728" s="5" t="str">
        <f t="shared" si="47"/>
        <v>Q4</v>
      </c>
      <c r="F728" s="5">
        <v>96.97000122</v>
      </c>
      <c r="G728" s="5">
        <v>99.27999878</v>
      </c>
      <c r="H728" s="5">
        <v>96.790000919999997</v>
      </c>
      <c r="I728" s="5">
        <v>98.36000061</v>
      </c>
      <c r="J728" s="5">
        <v>26052600</v>
      </c>
      <c r="K728" s="5">
        <v>98.004722599999994</v>
      </c>
    </row>
    <row r="729" spans="1:11" hidden="1">
      <c r="A729" s="4">
        <v>44886</v>
      </c>
      <c r="B729" s="5">
        <f t="shared" si="44"/>
        <v>21</v>
      </c>
      <c r="C729" s="5">
        <f t="shared" si="45"/>
        <v>11</v>
      </c>
      <c r="D729" s="5">
        <f t="shared" si="46"/>
        <v>2022</v>
      </c>
      <c r="E729" s="5" t="str">
        <f t="shared" si="47"/>
        <v>Q4</v>
      </c>
      <c r="F729" s="5">
        <v>98.769996640000002</v>
      </c>
      <c r="G729" s="5">
        <v>98.900001529999997</v>
      </c>
      <c r="H729" s="5">
        <v>96.370002749999998</v>
      </c>
      <c r="I729" s="5">
        <v>97.430000309999997</v>
      </c>
      <c r="J729" s="5">
        <v>28342300</v>
      </c>
      <c r="K729" s="5">
        <v>97.078086850000005</v>
      </c>
    </row>
    <row r="730" spans="1:11" hidden="1">
      <c r="A730" s="4">
        <v>44887</v>
      </c>
      <c r="B730" s="5">
        <f t="shared" si="44"/>
        <v>22</v>
      </c>
      <c r="C730" s="5">
        <f t="shared" si="45"/>
        <v>11</v>
      </c>
      <c r="D730" s="5">
        <f t="shared" si="46"/>
        <v>2022</v>
      </c>
      <c r="E730" s="5" t="str">
        <f t="shared" si="47"/>
        <v>Q4</v>
      </c>
      <c r="F730" s="5">
        <v>97.290000919999997</v>
      </c>
      <c r="G730" s="5">
        <v>98.400001529999997</v>
      </c>
      <c r="H730" s="5">
        <v>95.36000061</v>
      </c>
      <c r="I730" s="5">
        <v>95.599998470000003</v>
      </c>
      <c r="J730" s="5">
        <v>21647400</v>
      </c>
      <c r="K730" s="5">
        <v>95.254699709999997</v>
      </c>
    </row>
    <row r="731" spans="1:11" hidden="1">
      <c r="A731" s="4">
        <v>44888</v>
      </c>
      <c r="B731" s="5">
        <f t="shared" si="44"/>
        <v>23</v>
      </c>
      <c r="C731" s="5">
        <f t="shared" si="45"/>
        <v>11</v>
      </c>
      <c r="D731" s="5">
        <f t="shared" si="46"/>
        <v>2022</v>
      </c>
      <c r="E731" s="5" t="str">
        <f t="shared" si="47"/>
        <v>Q4</v>
      </c>
      <c r="F731" s="5">
        <v>95.949996949999999</v>
      </c>
      <c r="G731" s="5">
        <v>97.22000122</v>
      </c>
      <c r="H731" s="5">
        <v>94.050003050000001</v>
      </c>
      <c r="I731" s="5">
        <v>97.050003050000001</v>
      </c>
      <c r="J731" s="5">
        <v>23438500</v>
      </c>
      <c r="K731" s="5">
        <v>96.699455259999993</v>
      </c>
    </row>
    <row r="732" spans="1:11" hidden="1">
      <c r="A732" s="4">
        <v>44890</v>
      </c>
      <c r="B732" s="5">
        <f t="shared" si="44"/>
        <v>25</v>
      </c>
      <c r="C732" s="5">
        <f t="shared" si="45"/>
        <v>11</v>
      </c>
      <c r="D732" s="5">
        <f t="shared" si="46"/>
        <v>2022</v>
      </c>
      <c r="E732" s="5" t="str">
        <f t="shared" si="47"/>
        <v>Q4</v>
      </c>
      <c r="F732" s="5">
        <v>97.089996339999999</v>
      </c>
      <c r="G732" s="5">
        <v>98.760002139999997</v>
      </c>
      <c r="H732" s="5">
        <v>97.089996339999999</v>
      </c>
      <c r="I732" s="5">
        <v>98.459999080000003</v>
      </c>
      <c r="J732" s="5">
        <v>18868100</v>
      </c>
      <c r="K732" s="5">
        <v>98.10436249</v>
      </c>
    </row>
    <row r="733" spans="1:11" hidden="1">
      <c r="A733" s="4">
        <v>44893</v>
      </c>
      <c r="B733" s="5">
        <f t="shared" si="44"/>
        <v>28</v>
      </c>
      <c r="C733" s="5">
        <f t="shared" si="45"/>
        <v>11</v>
      </c>
      <c r="D733" s="5">
        <f t="shared" si="46"/>
        <v>2022</v>
      </c>
      <c r="E733" s="5" t="str">
        <f t="shared" si="47"/>
        <v>Q4</v>
      </c>
      <c r="F733" s="5">
        <v>98.239997860000003</v>
      </c>
      <c r="G733" s="5">
        <v>98.63999939</v>
      </c>
      <c r="H733" s="5">
        <v>97.400001529999997</v>
      </c>
      <c r="I733" s="5">
        <v>97.459999080000003</v>
      </c>
      <c r="J733" s="5">
        <v>9701400</v>
      </c>
      <c r="K733" s="5">
        <v>97.107971190000001</v>
      </c>
    </row>
    <row r="734" spans="1:11" hidden="1">
      <c r="A734" s="4">
        <v>44894</v>
      </c>
      <c r="B734" s="5">
        <f t="shared" si="44"/>
        <v>29</v>
      </c>
      <c r="C734" s="5">
        <f t="shared" si="45"/>
        <v>11</v>
      </c>
      <c r="D734" s="5">
        <f t="shared" si="46"/>
        <v>2022</v>
      </c>
      <c r="E734" s="5" t="str">
        <f t="shared" si="47"/>
        <v>Q4</v>
      </c>
      <c r="F734" s="5">
        <v>97.040000919999997</v>
      </c>
      <c r="G734" s="5">
        <v>97.58000183</v>
      </c>
      <c r="H734" s="5">
        <v>95.61000061</v>
      </c>
      <c r="I734" s="5">
        <v>96.050003050000001</v>
      </c>
      <c r="J734" s="5">
        <v>26237500</v>
      </c>
      <c r="K734" s="5">
        <v>95.703071589999993</v>
      </c>
    </row>
    <row r="735" spans="1:11" hidden="1">
      <c r="A735" s="4">
        <v>44895</v>
      </c>
      <c r="B735" s="5">
        <f t="shared" si="44"/>
        <v>30</v>
      </c>
      <c r="C735" s="5">
        <f t="shared" si="45"/>
        <v>11</v>
      </c>
      <c r="D735" s="5">
        <f t="shared" si="46"/>
        <v>2022</v>
      </c>
      <c r="E735" s="5" t="str">
        <f t="shared" si="47"/>
        <v>Q4</v>
      </c>
      <c r="F735" s="5">
        <v>95.730003359999998</v>
      </c>
      <c r="G735" s="5">
        <v>96.120002749999998</v>
      </c>
      <c r="H735" s="5">
        <v>94.11000061</v>
      </c>
      <c r="I735" s="5">
        <v>95.190002440000001</v>
      </c>
      <c r="J735" s="5">
        <v>20061700</v>
      </c>
      <c r="K735" s="5">
        <v>94.846176150000005</v>
      </c>
    </row>
    <row r="736" spans="1:11" hidden="1">
      <c r="A736" s="4">
        <v>44896</v>
      </c>
      <c r="B736" s="5">
        <f t="shared" si="44"/>
        <v>1</v>
      </c>
      <c r="C736" s="5">
        <f t="shared" si="45"/>
        <v>12</v>
      </c>
      <c r="D736" s="5">
        <f t="shared" si="46"/>
        <v>2022</v>
      </c>
      <c r="E736" s="5" t="str">
        <f t="shared" si="47"/>
        <v>Q4</v>
      </c>
      <c r="F736" s="5">
        <v>94.819999690000003</v>
      </c>
      <c r="G736" s="5">
        <v>101.0400009</v>
      </c>
      <c r="H736" s="5">
        <v>94.41999817</v>
      </c>
      <c r="I736" s="5">
        <v>100.98999790000001</v>
      </c>
      <c r="J736" s="5">
        <v>43647500</v>
      </c>
      <c r="K736" s="5">
        <v>100.6252289</v>
      </c>
    </row>
    <row r="737" spans="1:11" hidden="1">
      <c r="A737" s="4">
        <v>44897</v>
      </c>
      <c r="B737" s="5">
        <f t="shared" si="44"/>
        <v>2</v>
      </c>
      <c r="C737" s="5">
        <f t="shared" si="45"/>
        <v>12</v>
      </c>
      <c r="D737" s="5">
        <f t="shared" si="46"/>
        <v>2022</v>
      </c>
      <c r="E737" s="5" t="str">
        <f t="shared" si="47"/>
        <v>Q4</v>
      </c>
      <c r="F737" s="5">
        <v>101.0199966</v>
      </c>
      <c r="G737" s="5">
        <v>102.25</v>
      </c>
      <c r="H737" s="5">
        <v>100.25</v>
      </c>
      <c r="I737" s="5">
        <v>100.98999790000001</v>
      </c>
      <c r="J737" s="5">
        <v>28687100</v>
      </c>
      <c r="K737" s="5">
        <v>100.6252289</v>
      </c>
    </row>
    <row r="738" spans="1:11" hidden="1">
      <c r="A738" s="4">
        <v>44900</v>
      </c>
      <c r="B738" s="5">
        <f t="shared" si="44"/>
        <v>5</v>
      </c>
      <c r="C738" s="5">
        <f t="shared" si="45"/>
        <v>12</v>
      </c>
      <c r="D738" s="5">
        <f t="shared" si="46"/>
        <v>2022</v>
      </c>
      <c r="E738" s="5" t="str">
        <f t="shared" si="47"/>
        <v>Q4</v>
      </c>
      <c r="F738" s="5">
        <v>99.050003050000001</v>
      </c>
      <c r="G738" s="5">
        <v>100.7699966</v>
      </c>
      <c r="H738" s="5">
        <v>98.900001529999997</v>
      </c>
      <c r="I738" s="5">
        <v>100.4400024</v>
      </c>
      <c r="J738" s="5">
        <v>21480700</v>
      </c>
      <c r="K738" s="5">
        <v>100.0772095</v>
      </c>
    </row>
    <row r="739" spans="1:11" hidden="1">
      <c r="A739" s="4">
        <v>44901</v>
      </c>
      <c r="B739" s="5">
        <f t="shared" si="44"/>
        <v>6</v>
      </c>
      <c r="C739" s="5">
        <f t="shared" si="45"/>
        <v>12</v>
      </c>
      <c r="D739" s="5">
        <f t="shared" si="46"/>
        <v>2022</v>
      </c>
      <c r="E739" s="5" t="str">
        <f t="shared" si="47"/>
        <v>Q4</v>
      </c>
      <c r="F739" s="5">
        <v>99.400001529999997</v>
      </c>
      <c r="G739" s="5">
        <v>101.3799973</v>
      </c>
      <c r="H739" s="5">
        <v>99</v>
      </c>
      <c r="I739" s="5">
        <v>99.480003359999998</v>
      </c>
      <c r="J739" s="5">
        <v>24405100</v>
      </c>
      <c r="K739" s="5">
        <v>99.120681759999997</v>
      </c>
    </row>
    <row r="740" spans="1:11" hidden="1">
      <c r="A740" s="4">
        <v>44902</v>
      </c>
      <c r="B740" s="5">
        <f t="shared" si="44"/>
        <v>7</v>
      </c>
      <c r="C740" s="5">
        <f t="shared" si="45"/>
        <v>12</v>
      </c>
      <c r="D740" s="5">
        <f t="shared" si="46"/>
        <v>2022</v>
      </c>
      <c r="E740" s="5" t="str">
        <f t="shared" si="47"/>
        <v>Q4</v>
      </c>
      <c r="F740" s="5">
        <v>99.300003050000001</v>
      </c>
      <c r="G740" s="5">
        <v>99.77999878</v>
      </c>
      <c r="H740" s="5">
        <v>96.41999817</v>
      </c>
      <c r="I740" s="5">
        <v>96.980003359999998</v>
      </c>
      <c r="J740" s="5">
        <v>24910700</v>
      </c>
      <c r="K740" s="5">
        <v>96.629707339999996</v>
      </c>
    </row>
    <row r="741" spans="1:11" hidden="1">
      <c r="A741" s="4">
        <v>44903</v>
      </c>
      <c r="B741" s="5">
        <f t="shared" si="44"/>
        <v>8</v>
      </c>
      <c r="C741" s="5">
        <f t="shared" si="45"/>
        <v>12</v>
      </c>
      <c r="D741" s="5">
        <f t="shared" si="46"/>
        <v>2022</v>
      </c>
      <c r="E741" s="5" t="str">
        <f t="shared" si="47"/>
        <v>Q4</v>
      </c>
      <c r="F741" s="5">
        <v>96.410003660000001</v>
      </c>
      <c r="G741" s="5">
        <v>96.879997250000002</v>
      </c>
      <c r="H741" s="5">
        <v>94.72000122</v>
      </c>
      <c r="I741" s="5">
        <v>94.940002440000001</v>
      </c>
      <c r="J741" s="5">
        <v>31045400</v>
      </c>
      <c r="K741" s="5">
        <v>94.597084050000007</v>
      </c>
    </row>
    <row r="742" spans="1:11" hidden="1">
      <c r="A742" s="4">
        <v>44904</v>
      </c>
      <c r="B742" s="5">
        <f t="shared" si="44"/>
        <v>9</v>
      </c>
      <c r="C742" s="5">
        <f t="shared" si="45"/>
        <v>12</v>
      </c>
      <c r="D742" s="5">
        <f t="shared" si="46"/>
        <v>2022</v>
      </c>
      <c r="E742" s="5" t="str">
        <f t="shared" si="47"/>
        <v>Q4</v>
      </c>
      <c r="F742" s="5">
        <v>95.379997250000002</v>
      </c>
      <c r="G742" s="5">
        <v>95.58000183</v>
      </c>
      <c r="H742" s="5">
        <v>93.449996949999999</v>
      </c>
      <c r="I742" s="5">
        <v>93.709999080000003</v>
      </c>
      <c r="J742" s="5">
        <v>32213300</v>
      </c>
      <c r="K742" s="5">
        <v>93.371521000000001</v>
      </c>
    </row>
    <row r="743" spans="1:11" hidden="1">
      <c r="A743" s="4">
        <v>44907</v>
      </c>
      <c r="B743" s="5">
        <f t="shared" si="44"/>
        <v>12</v>
      </c>
      <c r="C743" s="5">
        <f t="shared" si="45"/>
        <v>12</v>
      </c>
      <c r="D743" s="5">
        <f t="shared" si="46"/>
        <v>2022</v>
      </c>
      <c r="E743" s="5" t="str">
        <f t="shared" si="47"/>
        <v>Q4</v>
      </c>
      <c r="F743" s="5">
        <v>93.769996640000002</v>
      </c>
      <c r="G743" s="5">
        <v>94.260002139999997</v>
      </c>
      <c r="H743" s="5">
        <v>92.75</v>
      </c>
      <c r="I743" s="5">
        <v>92.83000183</v>
      </c>
      <c r="J743" s="5">
        <v>28225400</v>
      </c>
      <c r="K743" s="5">
        <v>92.49469757</v>
      </c>
    </row>
    <row r="744" spans="1:11" hidden="1">
      <c r="A744" s="4">
        <v>44908</v>
      </c>
      <c r="B744" s="5">
        <f t="shared" si="44"/>
        <v>13</v>
      </c>
      <c r="C744" s="5">
        <f t="shared" si="45"/>
        <v>12</v>
      </c>
      <c r="D744" s="5">
        <f t="shared" si="46"/>
        <v>2022</v>
      </c>
      <c r="E744" s="5" t="str">
        <f t="shared" si="47"/>
        <v>Q4</v>
      </c>
      <c r="F744" s="5">
        <v>92.709999080000003</v>
      </c>
      <c r="G744" s="5">
        <v>93.559997559999999</v>
      </c>
      <c r="H744" s="5">
        <v>91.61000061</v>
      </c>
      <c r="I744" s="5">
        <v>93.309997559999999</v>
      </c>
      <c r="J744" s="5">
        <v>29420000</v>
      </c>
      <c r="K744" s="5">
        <v>92.972961429999998</v>
      </c>
    </row>
    <row r="745" spans="1:11" hidden="1">
      <c r="A745" s="4">
        <v>44909</v>
      </c>
      <c r="B745" s="5">
        <f t="shared" si="44"/>
        <v>14</v>
      </c>
      <c r="C745" s="5">
        <f t="shared" si="45"/>
        <v>12</v>
      </c>
      <c r="D745" s="5">
        <f t="shared" si="46"/>
        <v>2022</v>
      </c>
      <c r="E745" s="5" t="str">
        <f t="shared" si="47"/>
        <v>Q4</v>
      </c>
      <c r="F745" s="5">
        <v>97.760002139999997</v>
      </c>
      <c r="G745" s="5">
        <v>99.52999878</v>
      </c>
      <c r="H745" s="5">
        <v>95.02999878</v>
      </c>
      <c r="I745" s="5">
        <v>95.629997250000002</v>
      </c>
      <c r="J745" s="5">
        <v>40593700</v>
      </c>
      <c r="K745" s="5">
        <v>95.284584050000007</v>
      </c>
    </row>
    <row r="746" spans="1:11" hidden="1">
      <c r="A746" s="4">
        <v>44910</v>
      </c>
      <c r="B746" s="5">
        <f t="shared" si="44"/>
        <v>15</v>
      </c>
      <c r="C746" s="5">
        <f t="shared" si="45"/>
        <v>12</v>
      </c>
      <c r="D746" s="5">
        <f t="shared" si="46"/>
        <v>2022</v>
      </c>
      <c r="E746" s="5" t="str">
        <f t="shared" si="47"/>
        <v>Q4</v>
      </c>
      <c r="F746" s="5">
        <v>95.199996949999999</v>
      </c>
      <c r="G746" s="5">
        <v>96.870002749999998</v>
      </c>
      <c r="H746" s="5">
        <v>93.599998470000003</v>
      </c>
      <c r="I746" s="5">
        <v>95.069999690000003</v>
      </c>
      <c r="J746" s="5">
        <v>28733600</v>
      </c>
      <c r="K746" s="5">
        <v>94.726608279999994</v>
      </c>
    </row>
    <row r="747" spans="1:11" hidden="1">
      <c r="A747" s="4">
        <v>44911</v>
      </c>
      <c r="B747" s="5">
        <f t="shared" si="44"/>
        <v>16</v>
      </c>
      <c r="C747" s="5">
        <f t="shared" si="45"/>
        <v>12</v>
      </c>
      <c r="D747" s="5">
        <f t="shared" si="46"/>
        <v>2022</v>
      </c>
      <c r="E747" s="5" t="str">
        <f t="shared" si="47"/>
        <v>Q4</v>
      </c>
      <c r="F747" s="5">
        <v>93.129997250000002</v>
      </c>
      <c r="G747" s="5">
        <v>93.63999939</v>
      </c>
      <c r="H747" s="5">
        <v>90.010002139999997</v>
      </c>
      <c r="I747" s="5">
        <v>90.86000061</v>
      </c>
      <c r="J747" s="5">
        <v>40107000</v>
      </c>
      <c r="K747" s="5">
        <v>90.531814580000002</v>
      </c>
    </row>
    <row r="748" spans="1:11" hidden="1">
      <c r="A748" s="4">
        <v>44914</v>
      </c>
      <c r="B748" s="5">
        <f t="shared" si="44"/>
        <v>19</v>
      </c>
      <c r="C748" s="5">
        <f t="shared" si="45"/>
        <v>12</v>
      </c>
      <c r="D748" s="5">
        <f t="shared" si="46"/>
        <v>2022</v>
      </c>
      <c r="E748" s="5" t="str">
        <f t="shared" si="47"/>
        <v>Q4</v>
      </c>
      <c r="F748" s="5">
        <v>90.760002139999997</v>
      </c>
      <c r="G748" s="5">
        <v>91.33000183</v>
      </c>
      <c r="H748" s="5">
        <v>89.519996640000002</v>
      </c>
      <c r="I748" s="5">
        <v>90.260002139999997</v>
      </c>
      <c r="J748" s="5">
        <v>58011800</v>
      </c>
      <c r="K748" s="5">
        <v>89.933982850000007</v>
      </c>
    </row>
    <row r="749" spans="1:11" hidden="1">
      <c r="A749" s="4">
        <v>44915</v>
      </c>
      <c r="B749" s="5">
        <f t="shared" si="44"/>
        <v>20</v>
      </c>
      <c r="C749" s="5">
        <f t="shared" si="45"/>
        <v>12</v>
      </c>
      <c r="D749" s="5">
        <f t="shared" si="46"/>
        <v>2022</v>
      </c>
      <c r="E749" s="5" t="str">
        <f t="shared" si="47"/>
        <v>Q4</v>
      </c>
      <c r="F749" s="5">
        <v>90.260002139999997</v>
      </c>
      <c r="G749" s="5">
        <v>90.559997559999999</v>
      </c>
      <c r="H749" s="5">
        <v>88.209999080000003</v>
      </c>
      <c r="I749" s="5">
        <v>88.440002440000001</v>
      </c>
      <c r="J749" s="5">
        <v>29493000</v>
      </c>
      <c r="K749" s="5">
        <v>88.120559689999993</v>
      </c>
    </row>
    <row r="750" spans="1:11" hidden="1">
      <c r="A750" s="4">
        <v>44916</v>
      </c>
      <c r="B750" s="5">
        <f t="shared" si="44"/>
        <v>21</v>
      </c>
      <c r="C750" s="5">
        <f t="shared" si="45"/>
        <v>12</v>
      </c>
      <c r="D750" s="5">
        <f t="shared" si="46"/>
        <v>2022</v>
      </c>
      <c r="E750" s="5" t="str">
        <f t="shared" si="47"/>
        <v>Q4</v>
      </c>
      <c r="F750" s="5">
        <v>88.11000061</v>
      </c>
      <c r="G750" s="5">
        <v>89.180000309999997</v>
      </c>
      <c r="H750" s="5">
        <v>87.440002440000001</v>
      </c>
      <c r="I750" s="5">
        <v>89.019996640000002</v>
      </c>
      <c r="J750" s="5">
        <v>23453800</v>
      </c>
      <c r="K750" s="5">
        <v>88.698455809999999</v>
      </c>
    </row>
    <row r="751" spans="1:11" hidden="1">
      <c r="A751" s="4">
        <v>44917</v>
      </c>
      <c r="B751" s="5">
        <f t="shared" si="44"/>
        <v>22</v>
      </c>
      <c r="C751" s="5">
        <f t="shared" si="45"/>
        <v>12</v>
      </c>
      <c r="D751" s="5">
        <f t="shared" si="46"/>
        <v>2022</v>
      </c>
      <c r="E751" s="5" t="str">
        <f t="shared" si="47"/>
        <v>Q4</v>
      </c>
      <c r="F751" s="5">
        <v>89.08000183</v>
      </c>
      <c r="G751" s="5">
        <v>90.22000122</v>
      </c>
      <c r="H751" s="5">
        <v>88.319999690000003</v>
      </c>
      <c r="I751" s="5">
        <v>89.58000183</v>
      </c>
      <c r="J751" s="5">
        <v>24745600</v>
      </c>
      <c r="K751" s="5">
        <v>89.256439209999996</v>
      </c>
    </row>
    <row r="752" spans="1:11" hidden="1">
      <c r="A752" s="4">
        <v>44918</v>
      </c>
      <c r="B752" s="5">
        <f t="shared" si="44"/>
        <v>23</v>
      </c>
      <c r="C752" s="5">
        <f t="shared" si="45"/>
        <v>12</v>
      </c>
      <c r="D752" s="5">
        <f t="shared" si="46"/>
        <v>2022</v>
      </c>
      <c r="E752" s="5" t="str">
        <f t="shared" si="47"/>
        <v>Q4</v>
      </c>
      <c r="F752" s="5">
        <v>88.160003660000001</v>
      </c>
      <c r="G752" s="5">
        <v>88.540000919999997</v>
      </c>
      <c r="H752" s="5">
        <v>86.319999690000003</v>
      </c>
      <c r="I752" s="5">
        <v>87.760002139999997</v>
      </c>
      <c r="J752" s="5">
        <v>27658300</v>
      </c>
      <c r="K752" s="5">
        <v>87.443016049999997</v>
      </c>
    </row>
    <row r="753" spans="1:11" hidden="1">
      <c r="A753" s="4">
        <v>44922</v>
      </c>
      <c r="B753" s="5">
        <f t="shared" si="44"/>
        <v>27</v>
      </c>
      <c r="C753" s="5">
        <f t="shared" si="45"/>
        <v>12</v>
      </c>
      <c r="D753" s="5">
        <f t="shared" si="46"/>
        <v>2022</v>
      </c>
      <c r="E753" s="5" t="str">
        <f t="shared" si="47"/>
        <v>Q4</v>
      </c>
      <c r="F753" s="5">
        <v>87.11000061</v>
      </c>
      <c r="G753" s="5">
        <v>89.550003050000001</v>
      </c>
      <c r="H753" s="5">
        <v>87.069999690000003</v>
      </c>
      <c r="I753" s="5">
        <v>89.230003359999998</v>
      </c>
      <c r="J753" s="5">
        <v>23003000</v>
      </c>
      <c r="K753" s="5">
        <v>88.907707209999998</v>
      </c>
    </row>
    <row r="754" spans="1:11" hidden="1">
      <c r="A754" s="4">
        <v>44923</v>
      </c>
      <c r="B754" s="5">
        <f t="shared" si="44"/>
        <v>28</v>
      </c>
      <c r="C754" s="5">
        <f t="shared" si="45"/>
        <v>12</v>
      </c>
      <c r="D754" s="5">
        <f t="shared" si="46"/>
        <v>2022</v>
      </c>
      <c r="E754" s="5" t="str">
        <f t="shared" si="47"/>
        <v>Q4</v>
      </c>
      <c r="F754" s="5">
        <v>88.800003050000001</v>
      </c>
      <c r="G754" s="5">
        <v>88.940002440000001</v>
      </c>
      <c r="H754" s="5">
        <v>87.010002139999997</v>
      </c>
      <c r="I754" s="5">
        <v>87.38999939</v>
      </c>
      <c r="J754" s="5">
        <v>20097300</v>
      </c>
      <c r="K754" s="5">
        <v>87.074340820000003</v>
      </c>
    </row>
    <row r="755" spans="1:11" hidden="1">
      <c r="A755" s="4">
        <v>44924</v>
      </c>
      <c r="B755" s="5">
        <f t="shared" si="44"/>
        <v>29</v>
      </c>
      <c r="C755" s="5">
        <f t="shared" si="45"/>
        <v>12</v>
      </c>
      <c r="D755" s="5">
        <f t="shared" si="46"/>
        <v>2022</v>
      </c>
      <c r="E755" s="5" t="str">
        <f t="shared" si="47"/>
        <v>Q4</v>
      </c>
      <c r="F755" s="5">
        <v>86.980003359999998</v>
      </c>
      <c r="G755" s="5">
        <v>88.040000919999997</v>
      </c>
      <c r="H755" s="5">
        <v>85.940002440000001</v>
      </c>
      <c r="I755" s="5">
        <v>86.019996640000002</v>
      </c>
      <c r="J755" s="5">
        <v>19523200</v>
      </c>
      <c r="K755" s="5">
        <v>85.709297179999993</v>
      </c>
    </row>
    <row r="756" spans="1:11" hidden="1">
      <c r="A756" s="4">
        <v>44925</v>
      </c>
      <c r="B756" s="5">
        <f t="shared" si="44"/>
        <v>30</v>
      </c>
      <c r="C756" s="5">
        <f t="shared" si="45"/>
        <v>12</v>
      </c>
      <c r="D756" s="5">
        <f t="shared" si="46"/>
        <v>2022</v>
      </c>
      <c r="E756" s="5" t="str">
        <f t="shared" si="47"/>
        <v>Q4</v>
      </c>
      <c r="F756" s="5">
        <v>86.620002749999998</v>
      </c>
      <c r="G756" s="5">
        <v>88.849998470000003</v>
      </c>
      <c r="H756" s="5">
        <v>86.61000061</v>
      </c>
      <c r="I756" s="5">
        <v>88.449996949999999</v>
      </c>
      <c r="J756" s="5">
        <v>23333500</v>
      </c>
      <c r="K756" s="5">
        <v>88.130516049999997</v>
      </c>
    </row>
    <row r="757" spans="1:11">
      <c r="A757" s="4">
        <v>44929</v>
      </c>
      <c r="B757" s="5">
        <f t="shared" si="44"/>
        <v>3</v>
      </c>
      <c r="C757" s="5">
        <f t="shared" si="45"/>
        <v>1</v>
      </c>
      <c r="D757" s="5">
        <f t="shared" si="46"/>
        <v>2023</v>
      </c>
      <c r="E757" s="5" t="str">
        <f t="shared" si="47"/>
        <v>Q1</v>
      </c>
      <c r="F757" s="5">
        <v>86.980003359999998</v>
      </c>
      <c r="G757" s="5">
        <v>88.300003050000001</v>
      </c>
      <c r="H757" s="5">
        <v>86.569999690000003</v>
      </c>
      <c r="I757" s="5">
        <v>88.230003359999998</v>
      </c>
      <c r="J757" s="5">
        <v>23986300</v>
      </c>
      <c r="K757" s="5">
        <v>87.911308289999994</v>
      </c>
    </row>
    <row r="758" spans="1:11">
      <c r="A758" s="4">
        <v>44930</v>
      </c>
      <c r="B758" s="5">
        <f t="shared" si="44"/>
        <v>4</v>
      </c>
      <c r="C758" s="5">
        <f t="shared" si="45"/>
        <v>1</v>
      </c>
      <c r="D758" s="5">
        <f t="shared" si="46"/>
        <v>2023</v>
      </c>
      <c r="E758" s="5" t="str">
        <f t="shared" si="47"/>
        <v>Q1</v>
      </c>
      <c r="F758" s="5">
        <v>89.589996339999999</v>
      </c>
      <c r="G758" s="5">
        <v>91.050003050000001</v>
      </c>
      <c r="H758" s="5">
        <v>88.519996640000002</v>
      </c>
      <c r="I758" s="5">
        <v>89.120002749999998</v>
      </c>
      <c r="J758" s="5">
        <v>28131200</v>
      </c>
      <c r="K758" s="5">
        <v>88.798103330000004</v>
      </c>
    </row>
    <row r="759" spans="1:11">
      <c r="A759" s="4">
        <v>44931</v>
      </c>
      <c r="B759" s="5">
        <f t="shared" si="44"/>
        <v>5</v>
      </c>
      <c r="C759" s="5">
        <f t="shared" si="45"/>
        <v>1</v>
      </c>
      <c r="D759" s="5">
        <f t="shared" si="46"/>
        <v>2023</v>
      </c>
      <c r="E759" s="5" t="str">
        <f t="shared" si="47"/>
        <v>Q1</v>
      </c>
      <c r="F759" s="5">
        <v>90.349998470000003</v>
      </c>
      <c r="G759" s="5">
        <v>90.650001529999997</v>
      </c>
      <c r="H759" s="5">
        <v>87.269996640000002</v>
      </c>
      <c r="I759" s="5">
        <v>88.08000183</v>
      </c>
      <c r="J759" s="5">
        <v>34854800</v>
      </c>
      <c r="K759" s="5">
        <v>87.761856080000001</v>
      </c>
    </row>
    <row r="760" spans="1:11">
      <c r="A760" s="4">
        <v>44932</v>
      </c>
      <c r="B760" s="5">
        <f t="shared" si="44"/>
        <v>6</v>
      </c>
      <c r="C760" s="5">
        <f t="shared" si="45"/>
        <v>1</v>
      </c>
      <c r="D760" s="5">
        <f t="shared" si="46"/>
        <v>2023</v>
      </c>
      <c r="E760" s="5" t="str">
        <f t="shared" si="47"/>
        <v>Q1</v>
      </c>
      <c r="F760" s="5">
        <v>87.47000122</v>
      </c>
      <c r="G760" s="5">
        <v>87.569999690000003</v>
      </c>
      <c r="H760" s="5">
        <v>85.900001529999997</v>
      </c>
      <c r="I760" s="5">
        <v>86.199996949999999</v>
      </c>
      <c r="J760" s="5">
        <v>27194400</v>
      </c>
      <c r="K760" s="5">
        <v>85.888648989999993</v>
      </c>
    </row>
    <row r="761" spans="1:11">
      <c r="A761" s="4">
        <v>44935</v>
      </c>
      <c r="B761" s="5">
        <f t="shared" si="44"/>
        <v>9</v>
      </c>
      <c r="C761" s="5">
        <f t="shared" si="45"/>
        <v>1</v>
      </c>
      <c r="D761" s="5">
        <f t="shared" si="46"/>
        <v>2023</v>
      </c>
      <c r="E761" s="5" t="str">
        <f t="shared" si="47"/>
        <v>Q1</v>
      </c>
      <c r="F761" s="5">
        <v>86.790000919999997</v>
      </c>
      <c r="G761" s="5">
        <v>87.690002440000001</v>
      </c>
      <c r="H761" s="5">
        <v>84.86000061</v>
      </c>
      <c r="I761" s="5">
        <v>87.339996339999999</v>
      </c>
      <c r="J761" s="5">
        <v>41381500</v>
      </c>
      <c r="K761" s="5">
        <v>87.024528500000002</v>
      </c>
    </row>
    <row r="762" spans="1:11">
      <c r="A762" s="4">
        <v>44936</v>
      </c>
      <c r="B762" s="5">
        <f t="shared" si="44"/>
        <v>10</v>
      </c>
      <c r="C762" s="5">
        <f t="shared" si="45"/>
        <v>1</v>
      </c>
      <c r="D762" s="5">
        <f t="shared" si="46"/>
        <v>2023</v>
      </c>
      <c r="E762" s="5" t="str">
        <f t="shared" si="47"/>
        <v>Q1</v>
      </c>
      <c r="F762" s="5">
        <v>88.36000061</v>
      </c>
      <c r="G762" s="5">
        <v>90.050003050000001</v>
      </c>
      <c r="H762" s="5">
        <v>87.86000061</v>
      </c>
      <c r="I762" s="5">
        <v>88.019996640000002</v>
      </c>
      <c r="J762" s="5">
        <v>29003900</v>
      </c>
      <c r="K762" s="5">
        <v>87.702072139999999</v>
      </c>
    </row>
    <row r="763" spans="1:11">
      <c r="A763" s="4">
        <v>44937</v>
      </c>
      <c r="B763" s="5">
        <f t="shared" si="44"/>
        <v>11</v>
      </c>
      <c r="C763" s="5">
        <f t="shared" si="45"/>
        <v>1</v>
      </c>
      <c r="D763" s="5">
        <f t="shared" si="46"/>
        <v>2023</v>
      </c>
      <c r="E763" s="5" t="str">
        <f t="shared" si="47"/>
        <v>Q1</v>
      </c>
      <c r="F763" s="5">
        <v>85.980003359999998</v>
      </c>
      <c r="G763" s="5">
        <v>88.66999817</v>
      </c>
      <c r="H763" s="5">
        <v>85.83000183</v>
      </c>
      <c r="I763" s="5">
        <v>88.41999817</v>
      </c>
      <c r="J763" s="5">
        <v>30467800</v>
      </c>
      <c r="K763" s="5">
        <v>88.100624080000003</v>
      </c>
    </row>
    <row r="764" spans="1:11">
      <c r="A764" s="4">
        <v>44938</v>
      </c>
      <c r="B764" s="5">
        <f t="shared" si="44"/>
        <v>12</v>
      </c>
      <c r="C764" s="5">
        <f t="shared" si="45"/>
        <v>1</v>
      </c>
      <c r="D764" s="5">
        <f t="shared" si="46"/>
        <v>2023</v>
      </c>
      <c r="E764" s="5" t="str">
        <f t="shared" si="47"/>
        <v>Q1</v>
      </c>
      <c r="F764" s="5">
        <v>89.180000309999997</v>
      </c>
      <c r="G764" s="5">
        <v>91.599998470000003</v>
      </c>
      <c r="H764" s="5">
        <v>89.010002139999997</v>
      </c>
      <c r="I764" s="5">
        <v>91.519996640000002</v>
      </c>
      <c r="J764" s="5">
        <v>26862000</v>
      </c>
      <c r="K764" s="5">
        <v>91.189430239999993</v>
      </c>
    </row>
    <row r="765" spans="1:11">
      <c r="A765" s="4">
        <v>44939</v>
      </c>
      <c r="B765" s="5">
        <f t="shared" si="44"/>
        <v>13</v>
      </c>
      <c r="C765" s="5">
        <f t="shared" si="45"/>
        <v>1</v>
      </c>
      <c r="D765" s="5">
        <f t="shared" si="46"/>
        <v>2023</v>
      </c>
      <c r="E765" s="5" t="str">
        <f t="shared" si="47"/>
        <v>Q1</v>
      </c>
      <c r="F765" s="5">
        <v>91.480003359999998</v>
      </c>
      <c r="G765" s="5">
        <v>91.870002749999998</v>
      </c>
      <c r="H765" s="5">
        <v>89.75</v>
      </c>
      <c r="I765" s="5">
        <v>91.129997250000002</v>
      </c>
      <c r="J765" s="5">
        <v>30258100</v>
      </c>
      <c r="K765" s="5">
        <v>90.800834660000007</v>
      </c>
    </row>
    <row r="766" spans="1:11">
      <c r="A766" s="4">
        <v>44943</v>
      </c>
      <c r="B766" s="5">
        <f t="shared" si="44"/>
        <v>17</v>
      </c>
      <c r="C766" s="5">
        <f t="shared" si="45"/>
        <v>1</v>
      </c>
      <c r="D766" s="5">
        <f t="shared" si="46"/>
        <v>2023</v>
      </c>
      <c r="E766" s="5" t="str">
        <f t="shared" si="47"/>
        <v>Q1</v>
      </c>
      <c r="F766" s="5">
        <v>90.849998470000003</v>
      </c>
      <c r="G766" s="5">
        <v>92.190002440000001</v>
      </c>
      <c r="H766" s="5">
        <v>90.129997250000002</v>
      </c>
      <c r="I766" s="5">
        <v>92.120002749999998</v>
      </c>
      <c r="J766" s="5">
        <v>26329200</v>
      </c>
      <c r="K766" s="5">
        <v>91.787269589999994</v>
      </c>
    </row>
    <row r="767" spans="1:11">
      <c r="A767" s="4">
        <v>44944</v>
      </c>
      <c r="B767" s="5">
        <f t="shared" si="44"/>
        <v>18</v>
      </c>
      <c r="C767" s="5">
        <f t="shared" si="45"/>
        <v>1</v>
      </c>
      <c r="D767" s="5">
        <f t="shared" si="46"/>
        <v>2023</v>
      </c>
      <c r="E767" s="5" t="str">
        <f t="shared" si="47"/>
        <v>Q1</v>
      </c>
      <c r="F767" s="5">
        <v>92.059997559999999</v>
      </c>
      <c r="G767" s="5">
        <v>92.25</v>
      </c>
      <c r="H767" s="5">
        <v>90.050003050000001</v>
      </c>
      <c r="I767" s="5">
        <v>91.290000919999997</v>
      </c>
      <c r="J767" s="5">
        <v>32602400</v>
      </c>
      <c r="K767" s="5">
        <v>90.960266110000006</v>
      </c>
    </row>
    <row r="768" spans="1:11">
      <c r="A768" s="4">
        <v>44945</v>
      </c>
      <c r="B768" s="5">
        <f t="shared" si="44"/>
        <v>19</v>
      </c>
      <c r="C768" s="5">
        <f t="shared" si="45"/>
        <v>1</v>
      </c>
      <c r="D768" s="5">
        <f t="shared" si="46"/>
        <v>2023</v>
      </c>
      <c r="E768" s="5" t="str">
        <f t="shared" si="47"/>
        <v>Q1</v>
      </c>
      <c r="F768" s="5">
        <v>92.13999939</v>
      </c>
      <c r="G768" s="5">
        <v>92.800003050000001</v>
      </c>
      <c r="H768" s="5">
        <v>90.63999939</v>
      </c>
      <c r="I768" s="5">
        <v>91.120002749999998</v>
      </c>
      <c r="J768" s="5">
        <v>29116700</v>
      </c>
      <c r="K768" s="5">
        <v>90.790878300000003</v>
      </c>
    </row>
    <row r="769" spans="1:11">
      <c r="A769" s="4">
        <v>44946</v>
      </c>
      <c r="B769" s="5">
        <f t="shared" si="44"/>
        <v>20</v>
      </c>
      <c r="C769" s="5">
        <f t="shared" si="45"/>
        <v>1</v>
      </c>
      <c r="D769" s="5">
        <f t="shared" si="46"/>
        <v>2023</v>
      </c>
      <c r="E769" s="5" t="str">
        <f t="shared" si="47"/>
        <v>Q1</v>
      </c>
      <c r="F769" s="5">
        <v>90.72000122</v>
      </c>
      <c r="G769" s="5">
        <v>93.61000061</v>
      </c>
      <c r="H769" s="5">
        <v>90.629997250000002</v>
      </c>
      <c r="I769" s="5">
        <v>93.050003050000001</v>
      </c>
      <c r="J769" s="5">
        <v>37000400</v>
      </c>
      <c r="K769" s="5">
        <v>92.713905330000003</v>
      </c>
    </row>
    <row r="770" spans="1:11">
      <c r="A770" s="4">
        <v>44949</v>
      </c>
      <c r="B770" s="5">
        <f t="shared" ref="B770:B833" si="48">DAY(A770)</f>
        <v>23</v>
      </c>
      <c r="C770" s="5">
        <f t="shared" ref="C770:C833" si="49">MONTH(A770)</f>
        <v>1</v>
      </c>
      <c r="D770" s="5">
        <f t="shared" ref="D770:D833" si="50">YEAR(A770)</f>
        <v>2023</v>
      </c>
      <c r="E770" s="5" t="str">
        <f t="shared" ref="E770:E833" si="51">"Q"&amp;ROUNDUP(MONTH(A770)/3,0)</f>
        <v>Q1</v>
      </c>
      <c r="F770" s="5">
        <v>95.099998470000003</v>
      </c>
      <c r="G770" s="5">
        <v>98.300003050000001</v>
      </c>
      <c r="H770" s="5">
        <v>95.019996640000002</v>
      </c>
      <c r="I770" s="5">
        <v>98.019996640000002</v>
      </c>
      <c r="J770" s="5">
        <v>63191100</v>
      </c>
      <c r="K770" s="5">
        <v>97.665946959999999</v>
      </c>
    </row>
    <row r="771" spans="1:11">
      <c r="A771" s="4">
        <v>44950</v>
      </c>
      <c r="B771" s="5">
        <f t="shared" si="48"/>
        <v>24</v>
      </c>
      <c r="C771" s="5">
        <f t="shared" si="49"/>
        <v>1</v>
      </c>
      <c r="D771" s="5">
        <f t="shared" si="50"/>
        <v>2023</v>
      </c>
      <c r="E771" s="5" t="str">
        <f t="shared" si="51"/>
        <v>Q1</v>
      </c>
      <c r="F771" s="5">
        <v>97.949996949999999</v>
      </c>
      <c r="G771" s="5">
        <v>100.0400009</v>
      </c>
      <c r="H771" s="5">
        <v>97.5</v>
      </c>
      <c r="I771" s="5">
        <v>99.790000919999997</v>
      </c>
      <c r="J771" s="5">
        <v>40005100</v>
      </c>
      <c r="K771" s="5">
        <v>99.429565429999997</v>
      </c>
    </row>
    <row r="772" spans="1:11">
      <c r="A772" s="4">
        <v>44951</v>
      </c>
      <c r="B772" s="5">
        <f t="shared" si="48"/>
        <v>25</v>
      </c>
      <c r="C772" s="5">
        <f t="shared" si="49"/>
        <v>1</v>
      </c>
      <c r="D772" s="5">
        <f t="shared" si="50"/>
        <v>2023</v>
      </c>
      <c r="E772" s="5" t="str">
        <f t="shared" si="51"/>
        <v>Q1</v>
      </c>
      <c r="F772" s="5">
        <v>98.099998470000003</v>
      </c>
      <c r="G772" s="5">
        <v>99.61000061</v>
      </c>
      <c r="H772" s="5">
        <v>97.199996949999999</v>
      </c>
      <c r="I772" s="5">
        <v>97.699996949999999</v>
      </c>
      <c r="J772" s="5">
        <v>33078500</v>
      </c>
      <c r="K772" s="5">
        <v>97.347099299999996</v>
      </c>
    </row>
    <row r="773" spans="1:11">
      <c r="A773" s="4">
        <v>44952</v>
      </c>
      <c r="B773" s="5">
        <f t="shared" si="48"/>
        <v>26</v>
      </c>
      <c r="C773" s="5">
        <f t="shared" si="49"/>
        <v>1</v>
      </c>
      <c r="D773" s="5">
        <f t="shared" si="50"/>
        <v>2023</v>
      </c>
      <c r="E773" s="5" t="str">
        <f t="shared" si="51"/>
        <v>Q1</v>
      </c>
      <c r="F773" s="5">
        <v>95.569999690000003</v>
      </c>
      <c r="G773" s="5">
        <v>96.160003660000001</v>
      </c>
      <c r="H773" s="5">
        <v>93.760002139999997</v>
      </c>
      <c r="I773" s="5">
        <v>95.22000122</v>
      </c>
      <c r="J773" s="5">
        <v>42330000</v>
      </c>
      <c r="K773" s="5">
        <v>94.876075740000005</v>
      </c>
    </row>
    <row r="774" spans="1:11">
      <c r="A774" s="4">
        <v>44953</v>
      </c>
      <c r="B774" s="5">
        <f t="shared" si="48"/>
        <v>27</v>
      </c>
      <c r="C774" s="5">
        <f t="shared" si="49"/>
        <v>1</v>
      </c>
      <c r="D774" s="5">
        <f t="shared" si="50"/>
        <v>2023</v>
      </c>
      <c r="E774" s="5" t="str">
        <f t="shared" si="51"/>
        <v>Q1</v>
      </c>
      <c r="F774" s="5">
        <v>96.5</v>
      </c>
      <c r="G774" s="5">
        <v>97.569999690000003</v>
      </c>
      <c r="H774" s="5">
        <v>95.379997250000002</v>
      </c>
      <c r="I774" s="5">
        <v>97.519996640000002</v>
      </c>
      <c r="J774" s="5">
        <v>30114000</v>
      </c>
      <c r="K774" s="5">
        <v>97.167755130000003</v>
      </c>
    </row>
    <row r="775" spans="1:11">
      <c r="A775" s="4">
        <v>44956</v>
      </c>
      <c r="B775" s="5">
        <f t="shared" si="48"/>
        <v>30</v>
      </c>
      <c r="C775" s="5">
        <f t="shared" si="49"/>
        <v>1</v>
      </c>
      <c r="D775" s="5">
        <f t="shared" si="50"/>
        <v>2023</v>
      </c>
      <c r="E775" s="5" t="str">
        <f t="shared" si="51"/>
        <v>Q1</v>
      </c>
      <c r="F775" s="5">
        <v>97.309997559999999</v>
      </c>
      <c r="G775" s="5">
        <v>100.3199997</v>
      </c>
      <c r="H775" s="5">
        <v>97.309997559999999</v>
      </c>
      <c r="I775" s="5">
        <v>99.370002749999998</v>
      </c>
      <c r="J775" s="5">
        <v>33879800</v>
      </c>
      <c r="K775" s="5">
        <v>99.011085510000001</v>
      </c>
    </row>
    <row r="776" spans="1:11">
      <c r="A776" s="4">
        <v>44957</v>
      </c>
      <c r="B776" s="5">
        <f t="shared" si="48"/>
        <v>31</v>
      </c>
      <c r="C776" s="5">
        <f t="shared" si="49"/>
        <v>1</v>
      </c>
      <c r="D776" s="5">
        <f t="shared" si="50"/>
        <v>2023</v>
      </c>
      <c r="E776" s="5" t="str">
        <f t="shared" si="51"/>
        <v>Q1</v>
      </c>
      <c r="F776" s="5">
        <v>97.480003359999998</v>
      </c>
      <c r="G776" s="5">
        <v>98.290000919999997</v>
      </c>
      <c r="H776" s="5">
        <v>96.400001529999997</v>
      </c>
      <c r="I776" s="5">
        <v>96.940002440000001</v>
      </c>
      <c r="J776" s="5">
        <v>27226200</v>
      </c>
      <c r="K776" s="5">
        <v>96.589851379999999</v>
      </c>
    </row>
    <row r="777" spans="1:11">
      <c r="A777" s="4">
        <v>44958</v>
      </c>
      <c r="B777" s="5">
        <f t="shared" si="48"/>
        <v>1</v>
      </c>
      <c r="C777" s="5">
        <f t="shared" si="49"/>
        <v>2</v>
      </c>
      <c r="D777" s="5">
        <f t="shared" si="50"/>
        <v>2023</v>
      </c>
      <c r="E777" s="5" t="str">
        <f t="shared" si="51"/>
        <v>Q1</v>
      </c>
      <c r="F777" s="5">
        <v>96.870002749999998</v>
      </c>
      <c r="G777" s="5">
        <v>98.879997250000002</v>
      </c>
      <c r="H777" s="5">
        <v>96.819999690000003</v>
      </c>
      <c r="I777" s="5">
        <v>98.839996339999999</v>
      </c>
      <c r="J777" s="5">
        <v>29870700</v>
      </c>
      <c r="K777" s="5">
        <v>98.482986449999999</v>
      </c>
    </row>
    <row r="778" spans="1:11">
      <c r="A778" s="4">
        <v>44959</v>
      </c>
      <c r="B778" s="5">
        <f t="shared" si="48"/>
        <v>2</v>
      </c>
      <c r="C778" s="5">
        <f t="shared" si="49"/>
        <v>2</v>
      </c>
      <c r="D778" s="5">
        <f t="shared" si="50"/>
        <v>2023</v>
      </c>
      <c r="E778" s="5" t="str">
        <f t="shared" si="51"/>
        <v>Q1</v>
      </c>
      <c r="F778" s="5">
        <v>98.709999080000003</v>
      </c>
      <c r="G778" s="5">
        <v>101.1900024</v>
      </c>
      <c r="H778" s="5">
        <v>97.58000183</v>
      </c>
      <c r="I778" s="5">
        <v>100.4300003</v>
      </c>
      <c r="J778" s="5">
        <v>35531100</v>
      </c>
      <c r="K778" s="5">
        <v>100.0672531</v>
      </c>
    </row>
    <row r="779" spans="1:11">
      <c r="A779" s="4">
        <v>44960</v>
      </c>
      <c r="B779" s="5">
        <f t="shared" si="48"/>
        <v>3</v>
      </c>
      <c r="C779" s="5">
        <f t="shared" si="49"/>
        <v>2</v>
      </c>
      <c r="D779" s="5">
        <f t="shared" si="50"/>
        <v>2023</v>
      </c>
      <c r="E779" s="5" t="str">
        <f t="shared" si="51"/>
        <v>Q1</v>
      </c>
      <c r="F779" s="5">
        <v>105.8000031</v>
      </c>
      <c r="G779" s="5">
        <v>107.8499985</v>
      </c>
      <c r="H779" s="5">
        <v>105.61000060000001</v>
      </c>
      <c r="I779" s="5">
        <v>107.73999790000001</v>
      </c>
      <c r="J779" s="5">
        <v>69883800</v>
      </c>
      <c r="K779" s="5">
        <v>107.3508377</v>
      </c>
    </row>
    <row r="780" spans="1:11">
      <c r="A780" s="4">
        <v>44963</v>
      </c>
      <c r="B780" s="5">
        <f t="shared" si="48"/>
        <v>6</v>
      </c>
      <c r="C780" s="5">
        <f t="shared" si="49"/>
        <v>2</v>
      </c>
      <c r="D780" s="5">
        <f t="shared" si="50"/>
        <v>2023</v>
      </c>
      <c r="E780" s="5" t="str">
        <f t="shared" si="51"/>
        <v>Q1</v>
      </c>
      <c r="F780" s="5">
        <v>102.9300003</v>
      </c>
      <c r="G780" s="5">
        <v>107.8099976</v>
      </c>
      <c r="H780" s="5">
        <v>102.58000180000001</v>
      </c>
      <c r="I780" s="5">
        <v>104.7799988</v>
      </c>
      <c r="J780" s="5">
        <v>65309300</v>
      </c>
      <c r="K780" s="5">
        <v>104.401535</v>
      </c>
    </row>
    <row r="781" spans="1:11">
      <c r="A781" s="4">
        <v>44964</v>
      </c>
      <c r="B781" s="5">
        <f t="shared" si="48"/>
        <v>7</v>
      </c>
      <c r="C781" s="5">
        <f t="shared" si="49"/>
        <v>2</v>
      </c>
      <c r="D781" s="5">
        <f t="shared" si="50"/>
        <v>2023</v>
      </c>
      <c r="E781" s="5" t="str">
        <f t="shared" si="51"/>
        <v>Q1</v>
      </c>
      <c r="F781" s="5">
        <v>102.4000015</v>
      </c>
      <c r="G781" s="5">
        <v>104.36000060000001</v>
      </c>
      <c r="H781" s="5">
        <v>101.8799973</v>
      </c>
      <c r="I781" s="5">
        <v>102.9000015</v>
      </c>
      <c r="J781" s="5">
        <v>31999600</v>
      </c>
      <c r="K781" s="5">
        <v>102.52832789999999</v>
      </c>
    </row>
    <row r="782" spans="1:11">
      <c r="A782" s="4">
        <v>44965</v>
      </c>
      <c r="B782" s="5">
        <f t="shared" si="48"/>
        <v>8</v>
      </c>
      <c r="C782" s="5">
        <f t="shared" si="49"/>
        <v>2</v>
      </c>
      <c r="D782" s="5">
        <f t="shared" si="50"/>
        <v>2023</v>
      </c>
      <c r="E782" s="5" t="str">
        <f t="shared" si="51"/>
        <v>Q1</v>
      </c>
      <c r="F782" s="5">
        <v>103.2200012</v>
      </c>
      <c r="G782" s="5">
        <v>108.1800003</v>
      </c>
      <c r="H782" s="5">
        <v>103.1200027</v>
      </c>
      <c r="I782" s="5">
        <v>107.63999939999999</v>
      </c>
      <c r="J782" s="5">
        <v>49010200</v>
      </c>
      <c r="K782" s="5">
        <v>107.2512054</v>
      </c>
    </row>
    <row r="783" spans="1:11">
      <c r="A783" s="4">
        <v>44966</v>
      </c>
      <c r="B783" s="5">
        <f t="shared" si="48"/>
        <v>9</v>
      </c>
      <c r="C783" s="5">
        <f t="shared" si="49"/>
        <v>2</v>
      </c>
      <c r="D783" s="5">
        <f t="shared" si="50"/>
        <v>2023</v>
      </c>
      <c r="E783" s="5" t="str">
        <f t="shared" si="51"/>
        <v>Q1</v>
      </c>
      <c r="F783" s="5">
        <v>102.0500031</v>
      </c>
      <c r="G783" s="5">
        <v>103.13999939999999</v>
      </c>
      <c r="H783" s="5">
        <v>98.040000919999997</v>
      </c>
      <c r="I783" s="5">
        <v>99.370002749999998</v>
      </c>
      <c r="J783" s="5">
        <v>94743500</v>
      </c>
      <c r="K783" s="5">
        <v>99.011085510000001</v>
      </c>
    </row>
    <row r="784" spans="1:11">
      <c r="A784" s="4">
        <v>44967</v>
      </c>
      <c r="B784" s="5">
        <f t="shared" si="48"/>
        <v>10</v>
      </c>
      <c r="C784" s="5">
        <f t="shared" si="49"/>
        <v>2</v>
      </c>
      <c r="D784" s="5">
        <f t="shared" si="50"/>
        <v>2023</v>
      </c>
      <c r="E784" s="5" t="str">
        <f t="shared" si="51"/>
        <v>Q1</v>
      </c>
      <c r="F784" s="5">
        <v>100</v>
      </c>
      <c r="G784" s="5">
        <v>100.0299988</v>
      </c>
      <c r="H784" s="5">
        <v>93.629997250000002</v>
      </c>
      <c r="I784" s="5">
        <v>95.010002139999997</v>
      </c>
      <c r="J784" s="5">
        <v>119455000</v>
      </c>
      <c r="K784" s="5">
        <v>94.666824340000005</v>
      </c>
    </row>
    <row r="785" spans="1:11">
      <c r="A785" s="4">
        <v>44970</v>
      </c>
      <c r="B785" s="5">
        <f t="shared" si="48"/>
        <v>13</v>
      </c>
      <c r="C785" s="5">
        <f t="shared" si="49"/>
        <v>2</v>
      </c>
      <c r="D785" s="5">
        <f t="shared" si="50"/>
        <v>2023</v>
      </c>
      <c r="E785" s="5" t="str">
        <f t="shared" si="51"/>
        <v>Q1</v>
      </c>
      <c r="F785" s="5">
        <v>95.449996949999999</v>
      </c>
      <c r="G785" s="5">
        <v>96.75</v>
      </c>
      <c r="H785" s="5">
        <v>94.25</v>
      </c>
      <c r="I785" s="5">
        <v>94.569999690000003</v>
      </c>
      <c r="J785" s="5">
        <v>54980700</v>
      </c>
      <c r="K785" s="5">
        <v>94.228408810000005</v>
      </c>
    </row>
    <row r="786" spans="1:11">
      <c r="A786" s="4">
        <v>44971</v>
      </c>
      <c r="B786" s="5">
        <f t="shared" si="48"/>
        <v>14</v>
      </c>
      <c r="C786" s="5">
        <f t="shared" si="49"/>
        <v>2</v>
      </c>
      <c r="D786" s="5">
        <f t="shared" si="50"/>
        <v>2023</v>
      </c>
      <c r="E786" s="5" t="str">
        <f t="shared" si="51"/>
        <v>Q1</v>
      </c>
      <c r="F786" s="5">
        <v>94.739997860000003</v>
      </c>
      <c r="G786" s="5">
        <v>95.199996949999999</v>
      </c>
      <c r="H786" s="5">
        <v>93.839996339999999</v>
      </c>
      <c r="I786" s="5">
        <v>94.61000061</v>
      </c>
      <c r="J786" s="5">
        <v>50076100</v>
      </c>
      <c r="K786" s="5">
        <v>94.268264770000002</v>
      </c>
    </row>
    <row r="787" spans="1:11">
      <c r="A787" s="4">
        <v>44972</v>
      </c>
      <c r="B787" s="5">
        <f t="shared" si="48"/>
        <v>15</v>
      </c>
      <c r="C787" s="5">
        <f t="shared" si="49"/>
        <v>2</v>
      </c>
      <c r="D787" s="5">
        <f t="shared" si="50"/>
        <v>2023</v>
      </c>
      <c r="E787" s="5" t="str">
        <f t="shared" si="51"/>
        <v>Q1</v>
      </c>
      <c r="F787" s="5">
        <v>94.430000309999997</v>
      </c>
      <c r="G787" s="5">
        <v>94.849998470000003</v>
      </c>
      <c r="H787" s="5">
        <v>92.260002139999997</v>
      </c>
      <c r="I787" s="5">
        <v>94.680000309999997</v>
      </c>
      <c r="J787" s="5">
        <v>54726100</v>
      </c>
      <c r="K787" s="5">
        <v>94.338020319999998</v>
      </c>
    </row>
    <row r="788" spans="1:11">
      <c r="A788" s="4">
        <v>44973</v>
      </c>
      <c r="B788" s="5">
        <f t="shared" si="48"/>
        <v>16</v>
      </c>
      <c r="C788" s="5">
        <f t="shared" si="49"/>
        <v>2</v>
      </c>
      <c r="D788" s="5">
        <f t="shared" si="50"/>
        <v>2023</v>
      </c>
      <c r="E788" s="5" t="str">
        <f t="shared" si="51"/>
        <v>Q1</v>
      </c>
      <c r="F788" s="5">
        <v>94.489997860000003</v>
      </c>
      <c r="G788" s="5">
        <v>97.120002749999998</v>
      </c>
      <c r="H788" s="5">
        <v>94.150001529999997</v>
      </c>
      <c r="I788" s="5">
        <v>96.940002440000001</v>
      </c>
      <c r="J788" s="5">
        <v>50169000</v>
      </c>
      <c r="K788" s="5">
        <v>96.589851379999999</v>
      </c>
    </row>
    <row r="789" spans="1:11">
      <c r="A789" s="4">
        <v>44974</v>
      </c>
      <c r="B789" s="5">
        <f t="shared" si="48"/>
        <v>17</v>
      </c>
      <c r="C789" s="5">
        <f t="shared" si="49"/>
        <v>2</v>
      </c>
      <c r="D789" s="5">
        <f t="shared" si="50"/>
        <v>2023</v>
      </c>
      <c r="E789" s="5" t="str">
        <f t="shared" si="51"/>
        <v>Q1</v>
      </c>
      <c r="F789" s="5">
        <v>95.370002749999998</v>
      </c>
      <c r="G789" s="5">
        <v>97.680000309999997</v>
      </c>
      <c r="H789" s="5">
        <v>94.739997860000003</v>
      </c>
      <c r="I789" s="5">
        <v>95.510002139999997</v>
      </c>
      <c r="J789" s="5">
        <v>42462600</v>
      </c>
      <c r="K789" s="5">
        <v>95.165016170000001</v>
      </c>
    </row>
    <row r="790" spans="1:11">
      <c r="A790" s="4">
        <v>44978</v>
      </c>
      <c r="B790" s="5">
        <f t="shared" si="48"/>
        <v>21</v>
      </c>
      <c r="C790" s="5">
        <f t="shared" si="49"/>
        <v>2</v>
      </c>
      <c r="D790" s="5">
        <f t="shared" si="50"/>
        <v>2023</v>
      </c>
      <c r="E790" s="5" t="str">
        <f t="shared" si="51"/>
        <v>Q1</v>
      </c>
      <c r="F790" s="5">
        <v>94.849998470000003</v>
      </c>
      <c r="G790" s="5">
        <v>95.559997559999999</v>
      </c>
      <c r="H790" s="5">
        <v>93.209999080000003</v>
      </c>
      <c r="I790" s="5">
        <v>94.349998470000003</v>
      </c>
      <c r="J790" s="5">
        <v>34284100</v>
      </c>
      <c r="K790" s="5">
        <v>94.00920868</v>
      </c>
    </row>
    <row r="791" spans="1:11">
      <c r="A791" s="4">
        <v>44979</v>
      </c>
      <c r="B791" s="5">
        <f t="shared" si="48"/>
        <v>22</v>
      </c>
      <c r="C791" s="5">
        <f t="shared" si="49"/>
        <v>2</v>
      </c>
      <c r="D791" s="5">
        <f t="shared" si="50"/>
        <v>2023</v>
      </c>
      <c r="E791" s="5" t="str">
        <f t="shared" si="51"/>
        <v>Q1</v>
      </c>
      <c r="F791" s="5">
        <v>93</v>
      </c>
      <c r="G791" s="5">
        <v>93.099998470000003</v>
      </c>
      <c r="H791" s="5">
        <v>91.72000122</v>
      </c>
      <c r="I791" s="5">
        <v>91.790000919999997</v>
      </c>
      <c r="J791" s="5">
        <v>33629300</v>
      </c>
      <c r="K791" s="5">
        <v>91.458457949999996</v>
      </c>
    </row>
    <row r="792" spans="1:11">
      <c r="A792" s="4">
        <v>44980</v>
      </c>
      <c r="B792" s="5">
        <f t="shared" si="48"/>
        <v>23</v>
      </c>
      <c r="C792" s="5">
        <f t="shared" si="49"/>
        <v>2</v>
      </c>
      <c r="D792" s="5">
        <f t="shared" si="50"/>
        <v>2023</v>
      </c>
      <c r="E792" s="5" t="str">
        <f t="shared" si="51"/>
        <v>Q1</v>
      </c>
      <c r="F792" s="5">
        <v>91.699996949999999</v>
      </c>
      <c r="G792" s="5">
        <v>92.11000061</v>
      </c>
      <c r="H792" s="5">
        <v>90.61000061</v>
      </c>
      <c r="I792" s="5">
        <v>91.650001529999997</v>
      </c>
      <c r="J792" s="5">
        <v>30884000</v>
      </c>
      <c r="K792" s="5">
        <v>91.318962099999993</v>
      </c>
    </row>
    <row r="793" spans="1:11">
      <c r="A793" s="4">
        <v>44981</v>
      </c>
      <c r="B793" s="5">
        <f t="shared" si="48"/>
        <v>24</v>
      </c>
      <c r="C793" s="5">
        <f t="shared" si="49"/>
        <v>2</v>
      </c>
      <c r="D793" s="5">
        <f t="shared" si="50"/>
        <v>2023</v>
      </c>
      <c r="E793" s="5" t="str">
        <f t="shared" si="51"/>
        <v>Q1</v>
      </c>
      <c r="F793" s="5">
        <v>91.91999817</v>
      </c>
      <c r="G793" s="5">
        <v>91.940002440000001</v>
      </c>
      <c r="H793" s="5">
        <v>89.760002139999997</v>
      </c>
      <c r="I793" s="5">
        <v>90.88999939</v>
      </c>
      <c r="J793" s="5">
        <v>41206400</v>
      </c>
      <c r="K793" s="5">
        <v>90.561706540000003</v>
      </c>
    </row>
    <row r="794" spans="1:11">
      <c r="A794" s="4">
        <v>44984</v>
      </c>
      <c r="B794" s="5">
        <f t="shared" si="48"/>
        <v>27</v>
      </c>
      <c r="C794" s="5">
        <f t="shared" si="49"/>
        <v>2</v>
      </c>
      <c r="D794" s="5">
        <f t="shared" si="50"/>
        <v>2023</v>
      </c>
      <c r="E794" s="5" t="str">
        <f t="shared" si="51"/>
        <v>Q1</v>
      </c>
      <c r="F794" s="5">
        <v>89.440002440000001</v>
      </c>
      <c r="G794" s="5">
        <v>89.88999939</v>
      </c>
      <c r="H794" s="5">
        <v>88.58000183</v>
      </c>
      <c r="I794" s="5">
        <v>89.129997250000002</v>
      </c>
      <c r="J794" s="5">
        <v>36585100</v>
      </c>
      <c r="K794" s="5">
        <v>88.808059689999993</v>
      </c>
    </row>
    <row r="795" spans="1:11">
      <c r="A795" s="4">
        <v>44985</v>
      </c>
      <c r="B795" s="5">
        <f t="shared" si="48"/>
        <v>28</v>
      </c>
      <c r="C795" s="5">
        <f t="shared" si="49"/>
        <v>2</v>
      </c>
      <c r="D795" s="5">
        <f t="shared" si="50"/>
        <v>2023</v>
      </c>
      <c r="E795" s="5" t="str">
        <f t="shared" si="51"/>
        <v>Q1</v>
      </c>
      <c r="F795" s="5">
        <v>89.870002749999998</v>
      </c>
      <c r="G795" s="5">
        <v>90.160003660000001</v>
      </c>
      <c r="H795" s="5">
        <v>89.339996339999999</v>
      </c>
      <c r="I795" s="5">
        <v>89.870002749999998</v>
      </c>
      <c r="J795" s="5">
        <v>27502300</v>
      </c>
      <c r="K795" s="5">
        <v>89.545394900000005</v>
      </c>
    </row>
    <row r="796" spans="1:11">
      <c r="A796" s="4">
        <v>44986</v>
      </c>
      <c r="B796" s="5">
        <f t="shared" si="48"/>
        <v>1</v>
      </c>
      <c r="C796" s="5">
        <f t="shared" si="49"/>
        <v>3</v>
      </c>
      <c r="D796" s="5">
        <f t="shared" si="50"/>
        <v>2023</v>
      </c>
      <c r="E796" s="5" t="str">
        <f t="shared" si="51"/>
        <v>Q1</v>
      </c>
      <c r="F796" s="5">
        <v>89.33000183</v>
      </c>
      <c r="G796" s="5">
        <v>91.230003359999998</v>
      </c>
      <c r="H796" s="5">
        <v>89.319999690000003</v>
      </c>
      <c r="I796" s="5">
        <v>90.059997559999999</v>
      </c>
      <c r="J796" s="5">
        <v>30142000</v>
      </c>
      <c r="K796" s="5">
        <v>89.734703060000001</v>
      </c>
    </row>
    <row r="797" spans="1:11">
      <c r="A797" s="4">
        <v>44987</v>
      </c>
      <c r="B797" s="5">
        <f t="shared" si="48"/>
        <v>2</v>
      </c>
      <c r="C797" s="5">
        <f t="shared" si="49"/>
        <v>3</v>
      </c>
      <c r="D797" s="5">
        <f t="shared" si="50"/>
        <v>2023</v>
      </c>
      <c r="E797" s="5" t="str">
        <f t="shared" si="51"/>
        <v>Q1</v>
      </c>
      <c r="F797" s="5">
        <v>89.980003359999998</v>
      </c>
      <c r="G797" s="5">
        <v>91.02999878</v>
      </c>
      <c r="H797" s="5">
        <v>89.66999817</v>
      </c>
      <c r="I797" s="5">
        <v>90.36000061</v>
      </c>
      <c r="J797" s="5">
        <v>31111200</v>
      </c>
      <c r="K797" s="5">
        <v>90.033622739999998</v>
      </c>
    </row>
    <row r="798" spans="1:11">
      <c r="A798" s="4">
        <v>44988</v>
      </c>
      <c r="B798" s="5">
        <f t="shared" si="48"/>
        <v>3</v>
      </c>
      <c r="C798" s="5">
        <f t="shared" si="49"/>
        <v>3</v>
      </c>
      <c r="D798" s="5">
        <f t="shared" si="50"/>
        <v>2023</v>
      </c>
      <c r="E798" s="5" t="str">
        <f t="shared" si="51"/>
        <v>Q1</v>
      </c>
      <c r="F798" s="5">
        <v>89.660003660000001</v>
      </c>
      <c r="G798" s="5">
        <v>92.27999878</v>
      </c>
      <c r="H798" s="5">
        <v>89.589996339999999</v>
      </c>
      <c r="I798" s="5">
        <v>92</v>
      </c>
      <c r="J798" s="5">
        <v>32204400</v>
      </c>
      <c r="K798" s="5">
        <v>91.667694089999998</v>
      </c>
    </row>
    <row r="799" spans="1:11">
      <c r="A799" s="4">
        <v>44991</v>
      </c>
      <c r="B799" s="5">
        <f t="shared" si="48"/>
        <v>6</v>
      </c>
      <c r="C799" s="5">
        <f t="shared" si="49"/>
        <v>3</v>
      </c>
      <c r="D799" s="5">
        <f t="shared" si="50"/>
        <v>2023</v>
      </c>
      <c r="E799" s="5" t="str">
        <f t="shared" si="51"/>
        <v>Q1</v>
      </c>
      <c r="F799" s="5">
        <v>92.480003359999998</v>
      </c>
      <c r="G799" s="5">
        <v>93.730003359999998</v>
      </c>
      <c r="H799" s="5">
        <v>92.449996949999999</v>
      </c>
      <c r="I799" s="5">
        <v>93.650001529999997</v>
      </c>
      <c r="J799" s="5">
        <v>35160100</v>
      </c>
      <c r="K799" s="5">
        <v>93.311737059999999</v>
      </c>
    </row>
    <row r="800" spans="1:11">
      <c r="A800" s="4">
        <v>44992</v>
      </c>
      <c r="B800" s="5">
        <f t="shared" si="48"/>
        <v>7</v>
      </c>
      <c r="C800" s="5">
        <f t="shared" si="49"/>
        <v>3</v>
      </c>
      <c r="D800" s="5">
        <f t="shared" si="50"/>
        <v>2023</v>
      </c>
      <c r="E800" s="5" t="str">
        <f t="shared" si="51"/>
        <v>Q1</v>
      </c>
      <c r="F800" s="5">
        <v>94.019996640000002</v>
      </c>
      <c r="G800" s="5">
        <v>95.97000122</v>
      </c>
      <c r="H800" s="5">
        <v>94</v>
      </c>
      <c r="I800" s="5">
        <v>95.129997250000002</v>
      </c>
      <c r="J800" s="5">
        <v>32639300</v>
      </c>
      <c r="K800" s="5">
        <v>94.786384580000004</v>
      </c>
    </row>
    <row r="801" spans="1:11">
      <c r="A801" s="4">
        <v>44993</v>
      </c>
      <c r="B801" s="5">
        <f t="shared" si="48"/>
        <v>8</v>
      </c>
      <c r="C801" s="5">
        <f t="shared" si="49"/>
        <v>3</v>
      </c>
      <c r="D801" s="5">
        <f t="shared" si="50"/>
        <v>2023</v>
      </c>
      <c r="E801" s="5" t="str">
        <f t="shared" si="51"/>
        <v>Q1</v>
      </c>
      <c r="F801" s="5">
        <v>94.980003359999998</v>
      </c>
      <c r="G801" s="5">
        <v>95.66999817</v>
      </c>
      <c r="H801" s="5">
        <v>93.52999878</v>
      </c>
      <c r="I801" s="5">
        <v>93.86000061</v>
      </c>
      <c r="J801" s="5">
        <v>27835500</v>
      </c>
      <c r="K801" s="5">
        <v>93.520988459999998</v>
      </c>
    </row>
    <row r="802" spans="1:11">
      <c r="A802" s="4">
        <v>44994</v>
      </c>
      <c r="B802" s="5">
        <f t="shared" si="48"/>
        <v>9</v>
      </c>
      <c r="C802" s="5">
        <f t="shared" si="49"/>
        <v>3</v>
      </c>
      <c r="D802" s="5">
        <f t="shared" si="50"/>
        <v>2023</v>
      </c>
      <c r="E802" s="5" t="str">
        <f t="shared" si="51"/>
        <v>Q1</v>
      </c>
      <c r="F802" s="5">
        <v>94.120002749999998</v>
      </c>
      <c r="G802" s="5">
        <v>95.959999080000003</v>
      </c>
      <c r="H802" s="5">
        <v>94</v>
      </c>
      <c r="I802" s="5">
        <v>94.25</v>
      </c>
      <c r="J802" s="5">
        <v>34103300</v>
      </c>
      <c r="K802" s="5">
        <v>93.909568789999994</v>
      </c>
    </row>
    <row r="803" spans="1:11">
      <c r="A803" s="4">
        <v>44995</v>
      </c>
      <c r="B803" s="5">
        <f t="shared" si="48"/>
        <v>10</v>
      </c>
      <c r="C803" s="5">
        <f t="shared" si="49"/>
        <v>3</v>
      </c>
      <c r="D803" s="5">
        <f t="shared" si="50"/>
        <v>2023</v>
      </c>
      <c r="E803" s="5" t="str">
        <f t="shared" si="51"/>
        <v>Q1</v>
      </c>
      <c r="F803" s="5">
        <v>94.050003050000001</v>
      </c>
      <c r="G803" s="5">
        <v>95.52999878</v>
      </c>
      <c r="H803" s="5">
        <v>91.900001529999997</v>
      </c>
      <c r="I803" s="5">
        <v>92.319999690000003</v>
      </c>
      <c r="J803" s="5">
        <v>28813500</v>
      </c>
      <c r="K803" s="5">
        <v>91.986541750000001</v>
      </c>
    </row>
    <row r="804" spans="1:11">
      <c r="A804" s="4">
        <v>44998</v>
      </c>
      <c r="B804" s="5">
        <f t="shared" si="48"/>
        <v>13</v>
      </c>
      <c r="C804" s="5">
        <f t="shared" si="49"/>
        <v>3</v>
      </c>
      <c r="D804" s="5">
        <f t="shared" si="50"/>
        <v>2023</v>
      </c>
      <c r="E804" s="5" t="str">
        <f t="shared" si="51"/>
        <v>Q1</v>
      </c>
      <c r="F804" s="5">
        <v>92.16999817</v>
      </c>
      <c r="G804" s="5">
        <v>92.790000919999997</v>
      </c>
      <c r="H804" s="5">
        <v>90.400001529999997</v>
      </c>
      <c r="I804" s="5">
        <v>90.629997250000002</v>
      </c>
      <c r="J804" s="5">
        <v>35941000</v>
      </c>
      <c r="K804" s="5">
        <v>90.302642820000003</v>
      </c>
    </row>
    <row r="805" spans="1:11">
      <c r="A805" s="4">
        <v>44999</v>
      </c>
      <c r="B805" s="5">
        <f t="shared" si="48"/>
        <v>14</v>
      </c>
      <c r="C805" s="5">
        <f t="shared" si="49"/>
        <v>3</v>
      </c>
      <c r="D805" s="5">
        <f t="shared" si="50"/>
        <v>2023</v>
      </c>
      <c r="E805" s="5" t="str">
        <f t="shared" si="51"/>
        <v>Q1</v>
      </c>
      <c r="F805" s="5">
        <v>90.089996339999999</v>
      </c>
      <c r="G805" s="5">
        <v>92.569999690000003</v>
      </c>
      <c r="H805" s="5">
        <v>89.41999817</v>
      </c>
      <c r="I805" s="5">
        <v>91.11000061</v>
      </c>
      <c r="J805" s="5">
        <v>37335600</v>
      </c>
      <c r="K805" s="5">
        <v>90.78091431</v>
      </c>
    </row>
    <row r="806" spans="1:11">
      <c r="A806" s="4">
        <v>45000</v>
      </c>
      <c r="B806" s="5">
        <f t="shared" si="48"/>
        <v>15</v>
      </c>
      <c r="C806" s="5">
        <f t="shared" si="49"/>
        <v>3</v>
      </c>
      <c r="D806" s="5">
        <f t="shared" si="50"/>
        <v>2023</v>
      </c>
      <c r="E806" s="5" t="str">
        <f t="shared" si="51"/>
        <v>Q1</v>
      </c>
      <c r="F806" s="5">
        <v>92.559997559999999</v>
      </c>
      <c r="G806" s="5">
        <v>94.36000061</v>
      </c>
      <c r="H806" s="5">
        <v>92.440002440000001</v>
      </c>
      <c r="I806" s="5">
        <v>93.97000122</v>
      </c>
      <c r="J806" s="5">
        <v>36050200</v>
      </c>
      <c r="K806" s="5">
        <v>93.630584720000002</v>
      </c>
    </row>
    <row r="807" spans="1:11">
      <c r="A807" s="4">
        <v>45001</v>
      </c>
      <c r="B807" s="5">
        <f t="shared" si="48"/>
        <v>16</v>
      </c>
      <c r="C807" s="5">
        <f t="shared" si="49"/>
        <v>3</v>
      </c>
      <c r="D807" s="5">
        <f t="shared" si="50"/>
        <v>2023</v>
      </c>
      <c r="E807" s="5" t="str">
        <f t="shared" si="51"/>
        <v>Q1</v>
      </c>
      <c r="F807" s="5">
        <v>93.22000122</v>
      </c>
      <c r="G807" s="5">
        <v>96.930000309999997</v>
      </c>
      <c r="H807" s="5">
        <v>92.63999939</v>
      </c>
      <c r="I807" s="5">
        <v>96.11000061</v>
      </c>
      <c r="J807" s="5">
        <v>50622100</v>
      </c>
      <c r="K807" s="5">
        <v>95.762847899999997</v>
      </c>
    </row>
    <row r="808" spans="1:11">
      <c r="A808" s="4">
        <v>45002</v>
      </c>
      <c r="B808" s="5">
        <f t="shared" si="48"/>
        <v>17</v>
      </c>
      <c r="C808" s="5">
        <f t="shared" si="49"/>
        <v>3</v>
      </c>
      <c r="D808" s="5">
        <f t="shared" si="50"/>
        <v>2023</v>
      </c>
      <c r="E808" s="5" t="str">
        <f t="shared" si="51"/>
        <v>Q1</v>
      </c>
      <c r="F808" s="5">
        <v>96.199996949999999</v>
      </c>
      <c r="G808" s="5">
        <v>101.1900024</v>
      </c>
      <c r="H808" s="5">
        <v>95.5</v>
      </c>
      <c r="I808" s="5">
        <v>100.3199997</v>
      </c>
      <c r="J808" s="5">
        <v>65492000</v>
      </c>
      <c r="K808" s="5">
        <v>99.957641600000002</v>
      </c>
    </row>
    <row r="809" spans="1:11">
      <c r="A809" s="4">
        <v>45005</v>
      </c>
      <c r="B809" s="5">
        <f t="shared" si="48"/>
        <v>20</v>
      </c>
      <c r="C809" s="5">
        <f t="shared" si="49"/>
        <v>3</v>
      </c>
      <c r="D809" s="5">
        <f t="shared" si="50"/>
        <v>2023</v>
      </c>
      <c r="E809" s="5" t="str">
        <f t="shared" si="51"/>
        <v>Q1</v>
      </c>
      <c r="F809" s="5">
        <v>100.26000209999999</v>
      </c>
      <c r="G809" s="5">
        <v>102.8399963</v>
      </c>
      <c r="H809" s="5">
        <v>100.0999985</v>
      </c>
      <c r="I809" s="5">
        <v>101.6200027</v>
      </c>
      <c r="J809" s="5">
        <v>61028500</v>
      </c>
      <c r="K809" s="5">
        <v>101.2529449</v>
      </c>
    </row>
    <row r="810" spans="1:11">
      <c r="A810" s="4">
        <v>45006</v>
      </c>
      <c r="B810" s="5">
        <f t="shared" si="48"/>
        <v>21</v>
      </c>
      <c r="C810" s="5">
        <f t="shared" si="49"/>
        <v>3</v>
      </c>
      <c r="D810" s="5">
        <f t="shared" si="50"/>
        <v>2023</v>
      </c>
      <c r="E810" s="5" t="str">
        <f t="shared" si="51"/>
        <v>Q1</v>
      </c>
      <c r="F810" s="5">
        <v>100.1200027</v>
      </c>
      <c r="G810" s="5">
        <v>101.75</v>
      </c>
      <c r="H810" s="5">
        <v>99.870002749999998</v>
      </c>
      <c r="I810" s="5">
        <v>101.2200012</v>
      </c>
      <c r="J810" s="5">
        <v>32960400</v>
      </c>
      <c r="K810" s="5">
        <v>100.854393</v>
      </c>
    </row>
    <row r="811" spans="1:11">
      <c r="A811" s="4">
        <v>45007</v>
      </c>
      <c r="B811" s="5">
        <f t="shared" si="48"/>
        <v>22</v>
      </c>
      <c r="C811" s="5">
        <f t="shared" si="49"/>
        <v>3</v>
      </c>
      <c r="D811" s="5">
        <f t="shared" si="50"/>
        <v>2023</v>
      </c>
      <c r="E811" s="5" t="str">
        <f t="shared" si="51"/>
        <v>Q1</v>
      </c>
      <c r="F811" s="5">
        <v>101.25</v>
      </c>
      <c r="G811" s="5">
        <v>105.0999985</v>
      </c>
      <c r="H811" s="5">
        <v>101.2200012</v>
      </c>
      <c r="I811" s="5">
        <v>104.91999819999999</v>
      </c>
      <c r="J811" s="5">
        <v>42110300</v>
      </c>
      <c r="K811" s="5">
        <v>104.5410309</v>
      </c>
    </row>
    <row r="812" spans="1:11">
      <c r="A812" s="4">
        <v>45008</v>
      </c>
      <c r="B812" s="5">
        <f t="shared" si="48"/>
        <v>23</v>
      </c>
      <c r="C812" s="5">
        <f t="shared" si="49"/>
        <v>3</v>
      </c>
      <c r="D812" s="5">
        <f t="shared" si="50"/>
        <v>2023</v>
      </c>
      <c r="E812" s="5" t="str">
        <f t="shared" si="51"/>
        <v>Q1</v>
      </c>
      <c r="F812" s="5">
        <v>104.2699966</v>
      </c>
      <c r="G812" s="5">
        <v>106.5899963</v>
      </c>
      <c r="H812" s="5">
        <v>103.33000180000001</v>
      </c>
      <c r="I812" s="5">
        <v>103.3700027</v>
      </c>
      <c r="J812" s="5">
        <v>43427400</v>
      </c>
      <c r="K812" s="5">
        <v>102.9966354</v>
      </c>
    </row>
    <row r="813" spans="1:11">
      <c r="A813" s="4">
        <v>45009</v>
      </c>
      <c r="B813" s="5">
        <f t="shared" si="48"/>
        <v>24</v>
      </c>
      <c r="C813" s="5">
        <f t="shared" si="49"/>
        <v>3</v>
      </c>
      <c r="D813" s="5">
        <f t="shared" si="50"/>
        <v>2023</v>
      </c>
      <c r="E813" s="5" t="str">
        <f t="shared" si="51"/>
        <v>Q1</v>
      </c>
      <c r="F813" s="5">
        <v>105.0599976</v>
      </c>
      <c r="G813" s="5">
        <v>106.3000031</v>
      </c>
      <c r="H813" s="5">
        <v>104.4599991</v>
      </c>
      <c r="I813" s="5">
        <v>105.5999985</v>
      </c>
      <c r="J813" s="5">
        <v>40797800</v>
      </c>
      <c r="K813" s="5">
        <v>105.2185745</v>
      </c>
    </row>
    <row r="814" spans="1:11">
      <c r="A814" s="4">
        <v>45012</v>
      </c>
      <c r="B814" s="5">
        <f t="shared" si="48"/>
        <v>27</v>
      </c>
      <c r="C814" s="5">
        <f t="shared" si="49"/>
        <v>3</v>
      </c>
      <c r="D814" s="5">
        <f t="shared" si="50"/>
        <v>2023</v>
      </c>
      <c r="E814" s="5" t="str">
        <f t="shared" si="51"/>
        <v>Q1</v>
      </c>
      <c r="F814" s="5">
        <v>104.98999790000001</v>
      </c>
      <c r="G814" s="5">
        <v>105.48999790000001</v>
      </c>
      <c r="H814" s="5">
        <v>103.8399963</v>
      </c>
      <c r="I814" s="5">
        <v>105.4400024</v>
      </c>
      <c r="J814" s="5">
        <v>30393300</v>
      </c>
      <c r="K814" s="5">
        <v>105.05915830000001</v>
      </c>
    </row>
    <row r="815" spans="1:11">
      <c r="A815" s="4">
        <v>45013</v>
      </c>
      <c r="B815" s="5">
        <f t="shared" si="48"/>
        <v>28</v>
      </c>
      <c r="C815" s="5">
        <f t="shared" si="49"/>
        <v>3</v>
      </c>
      <c r="D815" s="5">
        <f t="shared" si="50"/>
        <v>2023</v>
      </c>
      <c r="E815" s="5" t="str">
        <f t="shared" si="51"/>
        <v>Q1</v>
      </c>
      <c r="F815" s="5">
        <v>104.6200027</v>
      </c>
      <c r="G815" s="5">
        <v>104.76000209999999</v>
      </c>
      <c r="H815" s="5">
        <v>101.9300003</v>
      </c>
      <c r="I815" s="5">
        <v>102.4599991</v>
      </c>
      <c r="J815" s="5">
        <v>31120900</v>
      </c>
      <c r="K815" s="5">
        <v>102.08992000000001</v>
      </c>
    </row>
    <row r="816" spans="1:11">
      <c r="A816" s="4">
        <v>45014</v>
      </c>
      <c r="B816" s="5">
        <f t="shared" si="48"/>
        <v>29</v>
      </c>
      <c r="C816" s="5">
        <f t="shared" si="49"/>
        <v>3</v>
      </c>
      <c r="D816" s="5">
        <f t="shared" si="50"/>
        <v>2023</v>
      </c>
      <c r="E816" s="5" t="str">
        <f t="shared" si="51"/>
        <v>Q1</v>
      </c>
      <c r="F816" s="5">
        <v>102.4400024</v>
      </c>
      <c r="G816" s="5">
        <v>102.4499969</v>
      </c>
      <c r="H816" s="5">
        <v>99.739997860000003</v>
      </c>
      <c r="I816" s="5">
        <v>101.0299988</v>
      </c>
      <c r="J816" s="5">
        <v>32057900</v>
      </c>
      <c r="K816" s="5">
        <v>100.6650848</v>
      </c>
    </row>
    <row r="817" spans="1:11">
      <c r="A817" s="4">
        <v>45015</v>
      </c>
      <c r="B817" s="5">
        <f t="shared" si="48"/>
        <v>30</v>
      </c>
      <c r="C817" s="5">
        <f t="shared" si="49"/>
        <v>3</v>
      </c>
      <c r="D817" s="5">
        <f t="shared" si="50"/>
        <v>2023</v>
      </c>
      <c r="E817" s="5" t="str">
        <f t="shared" si="51"/>
        <v>Q1</v>
      </c>
      <c r="F817" s="5">
        <v>102.2799988</v>
      </c>
      <c r="G817" s="5">
        <v>102.48999790000001</v>
      </c>
      <c r="H817" s="5">
        <v>100.6500015</v>
      </c>
      <c r="I817" s="5">
        <v>101.38999939999999</v>
      </c>
      <c r="J817" s="5">
        <v>28779600</v>
      </c>
      <c r="K817" s="5">
        <v>101.0237808</v>
      </c>
    </row>
    <row r="818" spans="1:11">
      <c r="A818" s="4">
        <v>45016</v>
      </c>
      <c r="B818" s="5">
        <f t="shared" si="48"/>
        <v>31</v>
      </c>
      <c r="C818" s="5">
        <f t="shared" si="49"/>
        <v>3</v>
      </c>
      <c r="D818" s="5">
        <f t="shared" si="50"/>
        <v>2023</v>
      </c>
      <c r="E818" s="5" t="str">
        <f t="shared" si="51"/>
        <v>Q1</v>
      </c>
      <c r="F818" s="5">
        <v>100.9100037</v>
      </c>
      <c r="G818" s="5">
        <v>101.1600037</v>
      </c>
      <c r="H818" s="5">
        <v>99.77999878</v>
      </c>
      <c r="I818" s="5">
        <v>100.88999939999999</v>
      </c>
      <c r="J818" s="5">
        <v>33086200</v>
      </c>
      <c r="K818" s="5">
        <v>100.525589</v>
      </c>
    </row>
    <row r="819" spans="1:11" hidden="1">
      <c r="A819" s="4">
        <v>45019</v>
      </c>
      <c r="B819" s="5">
        <f t="shared" si="48"/>
        <v>3</v>
      </c>
      <c r="C819" s="5">
        <f t="shared" si="49"/>
        <v>4</v>
      </c>
      <c r="D819" s="5">
        <f t="shared" si="50"/>
        <v>2023</v>
      </c>
      <c r="E819" s="5" t="str">
        <f t="shared" si="51"/>
        <v>Q2</v>
      </c>
      <c r="F819" s="5">
        <v>101.3000031</v>
      </c>
      <c r="G819" s="5">
        <v>103.88999939999999</v>
      </c>
      <c r="H819" s="5">
        <v>101.0400009</v>
      </c>
      <c r="I819" s="5">
        <v>103.7300034</v>
      </c>
      <c r="J819" s="5">
        <v>36863400</v>
      </c>
      <c r="K819" s="5">
        <v>103.3553314</v>
      </c>
    </row>
    <row r="820" spans="1:11" hidden="1">
      <c r="A820" s="4">
        <v>45020</v>
      </c>
      <c r="B820" s="5">
        <f t="shared" si="48"/>
        <v>4</v>
      </c>
      <c r="C820" s="5">
        <f t="shared" si="49"/>
        <v>4</v>
      </c>
      <c r="D820" s="5">
        <f t="shared" si="50"/>
        <v>2023</v>
      </c>
      <c r="E820" s="5" t="str">
        <f t="shared" si="51"/>
        <v>Q2</v>
      </c>
      <c r="F820" s="5">
        <v>102.38999939999999</v>
      </c>
      <c r="G820" s="5">
        <v>104.5299988</v>
      </c>
      <c r="H820" s="5">
        <v>101.9300003</v>
      </c>
      <c r="I820" s="5">
        <v>104.36000060000001</v>
      </c>
      <c r="J820" s="5">
        <v>25035400</v>
      </c>
      <c r="K820" s="5">
        <v>103.9830551</v>
      </c>
    </row>
    <row r="821" spans="1:11" hidden="1">
      <c r="A821" s="4">
        <v>45021</v>
      </c>
      <c r="B821" s="5">
        <f t="shared" si="48"/>
        <v>5</v>
      </c>
      <c r="C821" s="5">
        <f t="shared" si="49"/>
        <v>4</v>
      </c>
      <c r="D821" s="5">
        <f t="shared" si="50"/>
        <v>2023</v>
      </c>
      <c r="E821" s="5" t="str">
        <f t="shared" si="51"/>
        <v>Q2</v>
      </c>
      <c r="F821" s="5">
        <v>104.33000180000001</v>
      </c>
      <c r="G821" s="5">
        <v>105.58000180000001</v>
      </c>
      <c r="H821" s="5">
        <v>104.0400009</v>
      </c>
      <c r="I821" s="5">
        <v>104.7200012</v>
      </c>
      <c r="J821" s="5">
        <v>24420100</v>
      </c>
      <c r="K821" s="5">
        <v>104.3417511</v>
      </c>
    </row>
    <row r="822" spans="1:11" hidden="1">
      <c r="A822" s="4">
        <v>45022</v>
      </c>
      <c r="B822" s="5">
        <f t="shared" si="48"/>
        <v>6</v>
      </c>
      <c r="C822" s="5">
        <f t="shared" si="49"/>
        <v>4</v>
      </c>
      <c r="D822" s="5">
        <f t="shared" si="50"/>
        <v>2023</v>
      </c>
      <c r="E822" s="5" t="str">
        <f t="shared" si="51"/>
        <v>Q2</v>
      </c>
      <c r="F822" s="5">
        <v>105.7799988</v>
      </c>
      <c r="G822" s="5">
        <v>106.0999985</v>
      </c>
      <c r="H822" s="5">
        <v>103.6600037</v>
      </c>
      <c r="I822" s="5">
        <v>104.4700012</v>
      </c>
      <c r="J822" s="5">
        <v>28290500</v>
      </c>
      <c r="K822" s="5">
        <v>104.092659</v>
      </c>
    </row>
    <row r="823" spans="1:11" hidden="1">
      <c r="A823" s="4">
        <v>45026</v>
      </c>
      <c r="B823" s="5">
        <f t="shared" si="48"/>
        <v>10</v>
      </c>
      <c r="C823" s="5">
        <f t="shared" si="49"/>
        <v>4</v>
      </c>
      <c r="D823" s="5">
        <f t="shared" si="50"/>
        <v>2023</v>
      </c>
      <c r="E823" s="5" t="str">
        <f t="shared" si="51"/>
        <v>Q2</v>
      </c>
      <c r="F823" s="5">
        <v>105.26000209999999</v>
      </c>
      <c r="G823" s="5">
        <v>109.16999819999999</v>
      </c>
      <c r="H823" s="5">
        <v>104.33000180000001</v>
      </c>
      <c r="I823" s="5">
        <v>108.41999819999999</v>
      </c>
      <c r="J823" s="5">
        <v>48711500</v>
      </c>
      <c r="K823" s="5">
        <v>108.028389</v>
      </c>
    </row>
    <row r="824" spans="1:11" hidden="1">
      <c r="A824" s="4">
        <v>45027</v>
      </c>
      <c r="B824" s="5">
        <f t="shared" si="48"/>
        <v>11</v>
      </c>
      <c r="C824" s="5">
        <f t="shared" si="49"/>
        <v>4</v>
      </c>
      <c r="D824" s="5">
        <f t="shared" si="50"/>
        <v>2023</v>
      </c>
      <c r="E824" s="5" t="str">
        <f t="shared" si="51"/>
        <v>Q2</v>
      </c>
      <c r="F824" s="5">
        <v>106.9800034</v>
      </c>
      <c r="G824" s="5">
        <v>107.5899963</v>
      </c>
      <c r="H824" s="5">
        <v>105.1200027</v>
      </c>
      <c r="I824" s="5">
        <v>106.4400024</v>
      </c>
      <c r="J824" s="5">
        <v>27067400</v>
      </c>
      <c r="K824" s="5">
        <v>106.055542</v>
      </c>
    </row>
    <row r="825" spans="1:11" hidden="1">
      <c r="A825" s="4">
        <v>45028</v>
      </c>
      <c r="B825" s="5">
        <f t="shared" si="48"/>
        <v>12</v>
      </c>
      <c r="C825" s="5">
        <f t="shared" si="49"/>
        <v>4</v>
      </c>
      <c r="D825" s="5">
        <f t="shared" si="50"/>
        <v>2023</v>
      </c>
      <c r="E825" s="5" t="str">
        <f t="shared" si="51"/>
        <v>Q2</v>
      </c>
      <c r="F825" s="5">
        <v>106.5500031</v>
      </c>
      <c r="G825" s="5">
        <v>106.7300034</v>
      </c>
      <c r="H825" s="5">
        <v>104.6800003</v>
      </c>
      <c r="I825" s="5">
        <v>105.3499985</v>
      </c>
      <c r="J825" s="5">
        <v>26311800</v>
      </c>
      <c r="K825" s="5">
        <v>104.9694748</v>
      </c>
    </row>
    <row r="826" spans="1:11" hidden="1">
      <c r="A826" s="4">
        <v>45029</v>
      </c>
      <c r="B826" s="5">
        <f t="shared" si="48"/>
        <v>13</v>
      </c>
      <c r="C826" s="5">
        <f t="shared" si="49"/>
        <v>4</v>
      </c>
      <c r="D826" s="5">
        <f t="shared" si="50"/>
        <v>2023</v>
      </c>
      <c r="E826" s="5" t="str">
        <f t="shared" si="51"/>
        <v>Q2</v>
      </c>
      <c r="F826" s="5">
        <v>106.58000180000001</v>
      </c>
      <c r="G826" s="5">
        <v>106.75</v>
      </c>
      <c r="H826" s="5">
        <v>104.3399963</v>
      </c>
      <c r="I826" s="5">
        <v>104.63999939999999</v>
      </c>
      <c r="J826" s="5">
        <v>24370300</v>
      </c>
      <c r="K826" s="5">
        <v>104.2620392</v>
      </c>
    </row>
    <row r="827" spans="1:11" hidden="1">
      <c r="A827" s="4">
        <v>45030</v>
      </c>
      <c r="B827" s="5">
        <f t="shared" si="48"/>
        <v>14</v>
      </c>
      <c r="C827" s="5">
        <f t="shared" si="49"/>
        <v>4</v>
      </c>
      <c r="D827" s="5">
        <f t="shared" si="50"/>
        <v>2023</v>
      </c>
      <c r="E827" s="5" t="str">
        <f t="shared" si="51"/>
        <v>Q2</v>
      </c>
      <c r="F827" s="5">
        <v>105.8399963</v>
      </c>
      <c r="G827" s="5">
        <v>107.48999790000001</v>
      </c>
      <c r="H827" s="5">
        <v>105.8399963</v>
      </c>
      <c r="I827" s="5">
        <v>107.4300003</v>
      </c>
      <c r="J827" s="5">
        <v>24843600</v>
      </c>
      <c r="K827" s="5">
        <v>107.0419617</v>
      </c>
    </row>
    <row r="828" spans="1:11" hidden="1">
      <c r="A828" s="4">
        <v>45033</v>
      </c>
      <c r="B828" s="5">
        <f t="shared" si="48"/>
        <v>17</v>
      </c>
      <c r="C828" s="5">
        <f t="shared" si="49"/>
        <v>4</v>
      </c>
      <c r="D828" s="5">
        <f t="shared" si="50"/>
        <v>2023</v>
      </c>
      <c r="E828" s="5" t="str">
        <f t="shared" si="51"/>
        <v>Q2</v>
      </c>
      <c r="F828" s="5">
        <v>106.88999939999999</v>
      </c>
      <c r="G828" s="5">
        <v>108.9400024</v>
      </c>
      <c r="H828" s="5">
        <v>106.8399963</v>
      </c>
      <c r="I828" s="5">
        <v>108.8700027</v>
      </c>
      <c r="J828" s="5">
        <v>26578000</v>
      </c>
      <c r="K828" s="5">
        <v>108.4767609</v>
      </c>
    </row>
    <row r="829" spans="1:11" hidden="1">
      <c r="A829" s="4">
        <v>45034</v>
      </c>
      <c r="B829" s="5">
        <f t="shared" si="48"/>
        <v>18</v>
      </c>
      <c r="C829" s="5">
        <f t="shared" si="49"/>
        <v>4</v>
      </c>
      <c r="D829" s="5">
        <f t="shared" si="50"/>
        <v>2023</v>
      </c>
      <c r="E829" s="5" t="str">
        <f t="shared" si="51"/>
        <v>Q2</v>
      </c>
      <c r="F829" s="5">
        <v>104.6600037</v>
      </c>
      <c r="G829" s="5">
        <v>106.1600037</v>
      </c>
      <c r="H829" s="5">
        <v>104.5199966</v>
      </c>
      <c r="I829" s="5">
        <v>105.9700012</v>
      </c>
      <c r="J829" s="5">
        <v>37571200</v>
      </c>
      <c r="K829" s="5">
        <v>105.5872421</v>
      </c>
    </row>
    <row r="830" spans="1:11" hidden="1">
      <c r="A830" s="4">
        <v>45035</v>
      </c>
      <c r="B830" s="5">
        <f t="shared" si="48"/>
        <v>19</v>
      </c>
      <c r="C830" s="5">
        <f t="shared" si="49"/>
        <v>4</v>
      </c>
      <c r="D830" s="5">
        <f t="shared" si="50"/>
        <v>2023</v>
      </c>
      <c r="E830" s="5" t="str">
        <f t="shared" si="51"/>
        <v>Q2</v>
      </c>
      <c r="F830" s="5">
        <v>106.48999790000001</v>
      </c>
      <c r="G830" s="5">
        <v>106.5400009</v>
      </c>
      <c r="H830" s="5">
        <v>104.0699997</v>
      </c>
      <c r="I830" s="5">
        <v>104.5</v>
      </c>
      <c r="J830" s="5">
        <v>26596400</v>
      </c>
      <c r="K830" s="5">
        <v>104.122551</v>
      </c>
    </row>
    <row r="831" spans="1:11" hidden="1">
      <c r="A831" s="4">
        <v>45036</v>
      </c>
      <c r="B831" s="5">
        <f t="shared" si="48"/>
        <v>20</v>
      </c>
      <c r="C831" s="5">
        <f t="shared" si="49"/>
        <v>4</v>
      </c>
      <c r="D831" s="5">
        <f t="shared" si="50"/>
        <v>2023</v>
      </c>
      <c r="E831" s="5" t="str">
        <f t="shared" si="51"/>
        <v>Q2</v>
      </c>
      <c r="F831" s="5">
        <v>103.58000180000001</v>
      </c>
      <c r="G831" s="5">
        <v>104.9800034</v>
      </c>
      <c r="H831" s="5">
        <v>103.0699997</v>
      </c>
      <c r="I831" s="5">
        <v>104.1800003</v>
      </c>
      <c r="J831" s="5">
        <v>20905700</v>
      </c>
      <c r="K831" s="5">
        <v>103.8037033</v>
      </c>
    </row>
    <row r="832" spans="1:11" hidden="1">
      <c r="A832" s="4">
        <v>45037</v>
      </c>
      <c r="B832" s="5">
        <f t="shared" si="48"/>
        <v>21</v>
      </c>
      <c r="C832" s="5">
        <f t="shared" si="49"/>
        <v>4</v>
      </c>
      <c r="D832" s="5">
        <f t="shared" si="50"/>
        <v>2023</v>
      </c>
      <c r="E832" s="5" t="str">
        <f t="shared" si="51"/>
        <v>Q2</v>
      </c>
      <c r="F832" s="5">
        <v>103.9100037</v>
      </c>
      <c r="G832" s="5">
        <v>106.25</v>
      </c>
      <c r="H832" s="5">
        <v>103.8700027</v>
      </c>
      <c r="I832" s="5">
        <v>105.2900009</v>
      </c>
      <c r="J832" s="5">
        <v>27820800</v>
      </c>
      <c r="K832" s="5">
        <v>104.9096985</v>
      </c>
    </row>
    <row r="833" spans="1:11" hidden="1">
      <c r="A833" s="4">
        <v>45040</v>
      </c>
      <c r="B833" s="5">
        <f t="shared" si="48"/>
        <v>24</v>
      </c>
      <c r="C833" s="5">
        <f t="shared" si="49"/>
        <v>4</v>
      </c>
      <c r="D833" s="5">
        <f t="shared" si="50"/>
        <v>2023</v>
      </c>
      <c r="E833" s="5" t="str">
        <f t="shared" si="51"/>
        <v>Q2</v>
      </c>
      <c r="F833" s="5">
        <v>105.4700012</v>
      </c>
      <c r="G833" s="5">
        <v>106</v>
      </c>
      <c r="H833" s="5">
        <v>104.7799988</v>
      </c>
      <c r="I833" s="5">
        <v>105.4100037</v>
      </c>
      <c r="J833" s="5">
        <v>25800100</v>
      </c>
      <c r="K833" s="5">
        <v>105.0292664</v>
      </c>
    </row>
    <row r="834" spans="1:11" hidden="1">
      <c r="A834" s="4">
        <v>45041</v>
      </c>
      <c r="B834" s="5">
        <f t="shared" ref="B834:B897" si="52">DAY(A834)</f>
        <v>25</v>
      </c>
      <c r="C834" s="5">
        <f t="shared" ref="C834:C897" si="53">MONTH(A834)</f>
        <v>4</v>
      </c>
      <c r="D834" s="5">
        <f t="shared" ref="D834:D897" si="54">YEAR(A834)</f>
        <v>2023</v>
      </c>
      <c r="E834" s="5" t="str">
        <f t="shared" ref="E834:E897" si="55">"Q"&amp;ROUNDUP(MONTH(A834)/3,0)</f>
        <v>Q2</v>
      </c>
      <c r="F834" s="5">
        <v>105.48999790000001</v>
      </c>
      <c r="G834" s="5">
        <v>106.6299973</v>
      </c>
      <c r="H834" s="5">
        <v>104.6999969</v>
      </c>
      <c r="I834" s="5">
        <v>105.9700012</v>
      </c>
      <c r="J834" s="5">
        <v>23542800</v>
      </c>
      <c r="K834" s="5">
        <v>105.5872421</v>
      </c>
    </row>
    <row r="835" spans="1:11" hidden="1">
      <c r="A835" s="4">
        <v>45042</v>
      </c>
      <c r="B835" s="5">
        <f t="shared" si="52"/>
        <v>26</v>
      </c>
      <c r="C835" s="5">
        <f t="shared" si="53"/>
        <v>4</v>
      </c>
      <c r="D835" s="5">
        <f t="shared" si="54"/>
        <v>2023</v>
      </c>
      <c r="E835" s="5" t="str">
        <f t="shared" si="55"/>
        <v>Q2</v>
      </c>
      <c r="F835" s="5">
        <v>105.83000180000001</v>
      </c>
      <c r="G835" s="5">
        <v>106.6900024</v>
      </c>
      <c r="H835" s="5">
        <v>103.8399963</v>
      </c>
      <c r="I835" s="5">
        <v>103.8499985</v>
      </c>
      <c r="J835" s="5">
        <v>46664100</v>
      </c>
      <c r="K835" s="5">
        <v>103.4748917</v>
      </c>
    </row>
    <row r="836" spans="1:11" hidden="1">
      <c r="A836" s="4">
        <v>45043</v>
      </c>
      <c r="B836" s="5">
        <f t="shared" si="52"/>
        <v>27</v>
      </c>
      <c r="C836" s="5">
        <f t="shared" si="53"/>
        <v>4</v>
      </c>
      <c r="D836" s="5">
        <f t="shared" si="54"/>
        <v>2023</v>
      </c>
      <c r="E836" s="5" t="str">
        <f t="shared" si="55"/>
        <v>Q2</v>
      </c>
      <c r="F836" s="5">
        <v>104.91999819999999</v>
      </c>
      <c r="G836" s="5">
        <v>106.3499985</v>
      </c>
      <c r="H836" s="5">
        <v>102.6299973</v>
      </c>
      <c r="I836" s="5">
        <v>103.7099991</v>
      </c>
      <c r="J836" s="5">
        <v>53347600</v>
      </c>
      <c r="K836" s="5">
        <v>103.3354034</v>
      </c>
    </row>
    <row r="837" spans="1:11" hidden="1">
      <c r="A837" s="4">
        <v>45044</v>
      </c>
      <c r="B837" s="5">
        <f t="shared" si="52"/>
        <v>28</v>
      </c>
      <c r="C837" s="5">
        <f t="shared" si="53"/>
        <v>4</v>
      </c>
      <c r="D837" s="5">
        <f t="shared" si="54"/>
        <v>2023</v>
      </c>
      <c r="E837" s="5" t="str">
        <f t="shared" si="55"/>
        <v>Q2</v>
      </c>
      <c r="F837" s="5">
        <v>104.4499969</v>
      </c>
      <c r="G837" s="5">
        <v>108.3700027</v>
      </c>
      <c r="H837" s="5">
        <v>103.5400009</v>
      </c>
      <c r="I837" s="5">
        <v>107.5899963</v>
      </c>
      <c r="J837" s="5">
        <v>50089200</v>
      </c>
      <c r="K837" s="5">
        <v>107.2013855</v>
      </c>
    </row>
    <row r="838" spans="1:11" hidden="1">
      <c r="A838" s="4">
        <v>45047</v>
      </c>
      <c r="B838" s="5">
        <f t="shared" si="52"/>
        <v>1</v>
      </c>
      <c r="C838" s="5">
        <f t="shared" si="53"/>
        <v>5</v>
      </c>
      <c r="D838" s="5">
        <f t="shared" si="54"/>
        <v>2023</v>
      </c>
      <c r="E838" s="5" t="str">
        <f t="shared" si="55"/>
        <v>Q2</v>
      </c>
      <c r="F838" s="5">
        <v>107.0400009</v>
      </c>
      <c r="G838" s="5">
        <v>107.3499985</v>
      </c>
      <c r="H838" s="5">
        <v>105.0899963</v>
      </c>
      <c r="I838" s="5">
        <v>107.3399963</v>
      </c>
      <c r="J838" s="5">
        <v>36139800</v>
      </c>
      <c r="K838" s="5">
        <v>106.9522858</v>
      </c>
    </row>
    <row r="839" spans="1:11" hidden="1">
      <c r="A839" s="4">
        <v>45048</v>
      </c>
      <c r="B839" s="5">
        <f t="shared" si="52"/>
        <v>2</v>
      </c>
      <c r="C839" s="5">
        <f t="shared" si="53"/>
        <v>5</v>
      </c>
      <c r="D839" s="5">
        <f t="shared" si="54"/>
        <v>2023</v>
      </c>
      <c r="E839" s="5" t="str">
        <f t="shared" si="55"/>
        <v>Q2</v>
      </c>
      <c r="F839" s="5">
        <v>106.8399963</v>
      </c>
      <c r="G839" s="5">
        <v>107.98999790000001</v>
      </c>
      <c r="H839" s="5">
        <v>106.8199997</v>
      </c>
      <c r="I839" s="5">
        <v>107.1999969</v>
      </c>
      <c r="J839" s="5">
        <v>26681700</v>
      </c>
      <c r="K839" s="5">
        <v>106.8127899</v>
      </c>
    </row>
    <row r="840" spans="1:11" hidden="1">
      <c r="A840" s="4">
        <v>45049</v>
      </c>
      <c r="B840" s="5">
        <f t="shared" si="52"/>
        <v>3</v>
      </c>
      <c r="C840" s="5">
        <f t="shared" si="53"/>
        <v>5</v>
      </c>
      <c r="D840" s="5">
        <f t="shared" si="54"/>
        <v>2023</v>
      </c>
      <c r="E840" s="5" t="str">
        <f t="shared" si="55"/>
        <v>Q2</v>
      </c>
      <c r="F840" s="5">
        <v>107.13999939999999</v>
      </c>
      <c r="G840" s="5">
        <v>107.1999969</v>
      </c>
      <c r="H840" s="5">
        <v>103.7099991</v>
      </c>
      <c r="I840" s="5">
        <v>105.3199997</v>
      </c>
      <c r="J840" s="5">
        <v>30997200</v>
      </c>
      <c r="K840" s="5">
        <v>104.9395828</v>
      </c>
    </row>
    <row r="841" spans="1:11" hidden="1">
      <c r="A841" s="4">
        <v>45050</v>
      </c>
      <c r="B841" s="5">
        <f t="shared" si="52"/>
        <v>4</v>
      </c>
      <c r="C841" s="5">
        <f t="shared" si="53"/>
        <v>5</v>
      </c>
      <c r="D841" s="5">
        <f t="shared" si="54"/>
        <v>2023</v>
      </c>
      <c r="E841" s="5" t="str">
        <f t="shared" si="55"/>
        <v>Q2</v>
      </c>
      <c r="F841" s="5">
        <v>105.5299988</v>
      </c>
      <c r="G841" s="5">
        <v>107.48999790000001</v>
      </c>
      <c r="H841" s="5">
        <v>104.9599991</v>
      </c>
      <c r="I841" s="5">
        <v>105.4100037</v>
      </c>
      <c r="J841" s="5">
        <v>21795400</v>
      </c>
      <c r="K841" s="5">
        <v>105.0292664</v>
      </c>
    </row>
    <row r="842" spans="1:11" hidden="1">
      <c r="A842" s="4">
        <v>45051</v>
      </c>
      <c r="B842" s="5">
        <f t="shared" si="52"/>
        <v>5</v>
      </c>
      <c r="C842" s="5">
        <f t="shared" si="53"/>
        <v>5</v>
      </c>
      <c r="D842" s="5">
        <f t="shared" si="54"/>
        <v>2023</v>
      </c>
      <c r="E842" s="5" t="str">
        <f t="shared" si="55"/>
        <v>Q2</v>
      </c>
      <c r="F842" s="5">
        <v>105.48999790000001</v>
      </c>
      <c r="G842" s="5">
        <v>105.5999985</v>
      </c>
      <c r="H842" s="5">
        <v>103.9700012</v>
      </c>
      <c r="I842" s="5">
        <v>104.6900024</v>
      </c>
      <c r="J842" s="5">
        <v>23419500</v>
      </c>
      <c r="K842" s="5">
        <v>104.3118668</v>
      </c>
    </row>
    <row r="843" spans="1:11" hidden="1">
      <c r="A843" s="4">
        <v>45054</v>
      </c>
      <c r="B843" s="5">
        <f t="shared" si="52"/>
        <v>8</v>
      </c>
      <c r="C843" s="5">
        <f t="shared" si="53"/>
        <v>5</v>
      </c>
      <c r="D843" s="5">
        <f t="shared" si="54"/>
        <v>2023</v>
      </c>
      <c r="E843" s="5" t="str">
        <f t="shared" si="55"/>
        <v>Q2</v>
      </c>
      <c r="F843" s="5">
        <v>104.8199997</v>
      </c>
      <c r="G843" s="5">
        <v>105.8799973</v>
      </c>
      <c r="H843" s="5">
        <v>104.11000060000001</v>
      </c>
      <c r="I843" s="5">
        <v>105.5699997</v>
      </c>
      <c r="J843" s="5">
        <v>26625100</v>
      </c>
      <c r="K843" s="5">
        <v>105.18868260000001</v>
      </c>
    </row>
    <row r="844" spans="1:11" hidden="1">
      <c r="A844" s="4">
        <v>45055</v>
      </c>
      <c r="B844" s="5">
        <f t="shared" si="52"/>
        <v>9</v>
      </c>
      <c r="C844" s="5">
        <f t="shared" si="53"/>
        <v>5</v>
      </c>
      <c r="D844" s="5">
        <f t="shared" si="54"/>
        <v>2023</v>
      </c>
      <c r="E844" s="5" t="str">
        <f t="shared" si="55"/>
        <v>Q2</v>
      </c>
      <c r="F844" s="5">
        <v>105.1800003</v>
      </c>
      <c r="G844" s="5">
        <v>107.9599991</v>
      </c>
      <c r="H844" s="5">
        <v>105.1600037</v>
      </c>
      <c r="I844" s="5">
        <v>107.7699966</v>
      </c>
      <c r="J844" s="5">
        <v>26511400</v>
      </c>
      <c r="K844" s="5">
        <v>107.3807297</v>
      </c>
    </row>
    <row r="845" spans="1:11" hidden="1">
      <c r="A845" s="4">
        <v>45056</v>
      </c>
      <c r="B845" s="5">
        <f t="shared" si="52"/>
        <v>10</v>
      </c>
      <c r="C845" s="5">
        <f t="shared" si="53"/>
        <v>5</v>
      </c>
      <c r="D845" s="5">
        <f t="shared" si="54"/>
        <v>2023</v>
      </c>
      <c r="E845" s="5" t="str">
        <f t="shared" si="55"/>
        <v>Q2</v>
      </c>
      <c r="F845" s="5">
        <v>108.38999939999999</v>
      </c>
      <c r="G845" s="5">
        <v>110.1500015</v>
      </c>
      <c r="H845" s="5">
        <v>107.1900024</v>
      </c>
      <c r="I845" s="5">
        <v>107.3499985</v>
      </c>
      <c r="J845" s="5">
        <v>36360100</v>
      </c>
      <c r="K845" s="5">
        <v>106.9622498</v>
      </c>
    </row>
    <row r="846" spans="1:11" hidden="1">
      <c r="A846" s="4">
        <v>45057</v>
      </c>
      <c r="B846" s="5">
        <f t="shared" si="52"/>
        <v>11</v>
      </c>
      <c r="C846" s="5">
        <f t="shared" si="53"/>
        <v>5</v>
      </c>
      <c r="D846" s="5">
        <f t="shared" si="54"/>
        <v>2023</v>
      </c>
      <c r="E846" s="5" t="str">
        <f t="shared" si="55"/>
        <v>Q2</v>
      </c>
      <c r="F846" s="5">
        <v>107.9700012</v>
      </c>
      <c r="G846" s="5">
        <v>112.9400024</v>
      </c>
      <c r="H846" s="5">
        <v>107.9300003</v>
      </c>
      <c r="I846" s="5">
        <v>111.75</v>
      </c>
      <c r="J846" s="5">
        <v>63153400</v>
      </c>
      <c r="K846" s="5">
        <v>111.3463593</v>
      </c>
    </row>
    <row r="847" spans="1:11" hidden="1">
      <c r="A847" s="4">
        <v>45058</v>
      </c>
      <c r="B847" s="5">
        <f t="shared" si="52"/>
        <v>12</v>
      </c>
      <c r="C847" s="5">
        <f t="shared" si="53"/>
        <v>5</v>
      </c>
      <c r="D847" s="5">
        <f t="shared" si="54"/>
        <v>2023</v>
      </c>
      <c r="E847" s="5" t="str">
        <f t="shared" si="55"/>
        <v>Q2</v>
      </c>
      <c r="F847" s="5">
        <v>115.4000015</v>
      </c>
      <c r="G847" s="5">
        <v>117.91999819999999</v>
      </c>
      <c r="H847" s="5">
        <v>114.4100037</v>
      </c>
      <c r="I847" s="5">
        <v>116.5699997</v>
      </c>
      <c r="J847" s="5">
        <v>78900000</v>
      </c>
      <c r="K847" s="5">
        <v>116.14895629999999</v>
      </c>
    </row>
    <row r="848" spans="1:11" hidden="1">
      <c r="A848" s="4">
        <v>45061</v>
      </c>
      <c r="B848" s="5">
        <f t="shared" si="52"/>
        <v>15</v>
      </c>
      <c r="C848" s="5">
        <f t="shared" si="53"/>
        <v>5</v>
      </c>
      <c r="D848" s="5">
        <f t="shared" si="54"/>
        <v>2023</v>
      </c>
      <c r="E848" s="5" t="str">
        <f t="shared" si="55"/>
        <v>Q2</v>
      </c>
      <c r="F848" s="5">
        <v>116.6800003</v>
      </c>
      <c r="G848" s="5">
        <v>118.0299988</v>
      </c>
      <c r="H848" s="5">
        <v>116.11000060000001</v>
      </c>
      <c r="I848" s="5">
        <v>117.51000209999999</v>
      </c>
      <c r="J848" s="5">
        <v>41073800</v>
      </c>
      <c r="K848" s="5">
        <v>117.085556</v>
      </c>
    </row>
    <row r="849" spans="1:11" hidden="1">
      <c r="A849" s="4">
        <v>45062</v>
      </c>
      <c r="B849" s="5">
        <f t="shared" si="52"/>
        <v>16</v>
      </c>
      <c r="C849" s="5">
        <f t="shared" si="53"/>
        <v>5</v>
      </c>
      <c r="D849" s="5">
        <f t="shared" si="54"/>
        <v>2023</v>
      </c>
      <c r="E849" s="5" t="str">
        <f t="shared" si="55"/>
        <v>Q2</v>
      </c>
      <c r="F849" s="5">
        <v>116.11000060000001</v>
      </c>
      <c r="G849" s="5">
        <v>118.4800034</v>
      </c>
      <c r="H849" s="5">
        <v>116.01000209999999</v>
      </c>
      <c r="I849" s="5">
        <v>116.51000209999999</v>
      </c>
      <c r="J849" s="5">
        <v>36266800</v>
      </c>
      <c r="K849" s="5">
        <v>116.0891724</v>
      </c>
    </row>
    <row r="850" spans="1:11" hidden="1">
      <c r="A850" s="4">
        <v>45063</v>
      </c>
      <c r="B850" s="5">
        <f t="shared" si="52"/>
        <v>17</v>
      </c>
      <c r="C850" s="5">
        <f t="shared" si="53"/>
        <v>5</v>
      </c>
      <c r="D850" s="5">
        <f t="shared" si="54"/>
        <v>2023</v>
      </c>
      <c r="E850" s="5" t="str">
        <f t="shared" si="55"/>
        <v>Q2</v>
      </c>
      <c r="F850" s="5">
        <v>116.48999790000001</v>
      </c>
      <c r="G850" s="5">
        <v>120.75</v>
      </c>
      <c r="H850" s="5">
        <v>116.4300003</v>
      </c>
      <c r="I850" s="5">
        <v>119.51000209999999</v>
      </c>
      <c r="J850" s="5">
        <v>45035600</v>
      </c>
      <c r="K850" s="5">
        <v>119.07833100000001</v>
      </c>
    </row>
    <row r="851" spans="1:11" hidden="1">
      <c r="A851" s="4">
        <v>45064</v>
      </c>
      <c r="B851" s="5">
        <f t="shared" si="52"/>
        <v>18</v>
      </c>
      <c r="C851" s="5">
        <f t="shared" si="53"/>
        <v>5</v>
      </c>
      <c r="D851" s="5">
        <f t="shared" si="54"/>
        <v>2023</v>
      </c>
      <c r="E851" s="5" t="str">
        <f t="shared" si="55"/>
        <v>Q2</v>
      </c>
      <c r="F851" s="5">
        <v>119.61000060000001</v>
      </c>
      <c r="G851" s="5">
        <v>121.66999819999999</v>
      </c>
      <c r="H851" s="5">
        <v>118.88999939999999</v>
      </c>
      <c r="I851" s="5">
        <v>120.8399963</v>
      </c>
      <c r="J851" s="5">
        <v>33323600</v>
      </c>
      <c r="K851" s="5">
        <v>120.4035263</v>
      </c>
    </row>
    <row r="852" spans="1:11" hidden="1">
      <c r="A852" s="4">
        <v>45065</v>
      </c>
      <c r="B852" s="5">
        <f t="shared" si="52"/>
        <v>19</v>
      </c>
      <c r="C852" s="5">
        <f t="shared" si="53"/>
        <v>5</v>
      </c>
      <c r="D852" s="5">
        <f t="shared" si="54"/>
        <v>2023</v>
      </c>
      <c r="E852" s="5" t="str">
        <f t="shared" si="55"/>
        <v>Q2</v>
      </c>
      <c r="F852" s="5">
        <v>120.9499969</v>
      </c>
      <c r="G852" s="5">
        <v>123.3099976</v>
      </c>
      <c r="H852" s="5">
        <v>120.83000180000001</v>
      </c>
      <c r="I852" s="5">
        <v>122.83000180000001</v>
      </c>
      <c r="J852" s="5">
        <v>35234200</v>
      </c>
      <c r="K852" s="5">
        <v>122.38633729999999</v>
      </c>
    </row>
    <row r="853" spans="1:11" hidden="1">
      <c r="A853" s="4">
        <v>45068</v>
      </c>
      <c r="B853" s="5">
        <f t="shared" si="52"/>
        <v>22</v>
      </c>
      <c r="C853" s="5">
        <f t="shared" si="53"/>
        <v>5</v>
      </c>
      <c r="D853" s="5">
        <f t="shared" si="54"/>
        <v>2023</v>
      </c>
      <c r="E853" s="5" t="str">
        <f t="shared" si="55"/>
        <v>Q2</v>
      </c>
      <c r="F853" s="5">
        <v>123.5500031</v>
      </c>
      <c r="G853" s="5">
        <v>125.9700012</v>
      </c>
      <c r="H853" s="5">
        <v>122.1500015</v>
      </c>
      <c r="I853" s="5">
        <v>122.76000209999999</v>
      </c>
      <c r="J853" s="5">
        <v>41330300</v>
      </c>
      <c r="K853" s="5">
        <v>122.316597</v>
      </c>
    </row>
    <row r="854" spans="1:11" hidden="1">
      <c r="A854" s="4">
        <v>45069</v>
      </c>
      <c r="B854" s="5">
        <f t="shared" si="52"/>
        <v>23</v>
      </c>
      <c r="C854" s="5">
        <f t="shared" si="53"/>
        <v>5</v>
      </c>
      <c r="D854" s="5">
        <f t="shared" si="54"/>
        <v>2023</v>
      </c>
      <c r="E854" s="5" t="str">
        <f t="shared" si="55"/>
        <v>Q2</v>
      </c>
      <c r="F854" s="5">
        <v>122.9400024</v>
      </c>
      <c r="G854" s="5">
        <v>126.4300003</v>
      </c>
      <c r="H854" s="5">
        <v>122.73999790000001</v>
      </c>
      <c r="I854" s="5">
        <v>125.0500031</v>
      </c>
      <c r="J854" s="5">
        <v>35253000</v>
      </c>
      <c r="K854" s="5">
        <v>124.5983276</v>
      </c>
    </row>
    <row r="855" spans="1:11" hidden="1">
      <c r="A855" s="4">
        <v>45070</v>
      </c>
      <c r="B855" s="5">
        <f t="shared" si="52"/>
        <v>24</v>
      </c>
      <c r="C855" s="5">
        <f t="shared" si="53"/>
        <v>5</v>
      </c>
      <c r="D855" s="5">
        <f t="shared" si="54"/>
        <v>2023</v>
      </c>
      <c r="E855" s="5" t="str">
        <f t="shared" si="55"/>
        <v>Q2</v>
      </c>
      <c r="F855" s="5">
        <v>124.1600037</v>
      </c>
      <c r="G855" s="5">
        <v>124.6299973</v>
      </c>
      <c r="H855" s="5">
        <v>122.2099991</v>
      </c>
      <c r="I855" s="5">
        <v>122.5599976</v>
      </c>
      <c r="J855" s="5">
        <v>34046300</v>
      </c>
      <c r="K855" s="5">
        <v>122.1173096</v>
      </c>
    </row>
    <row r="856" spans="1:11" hidden="1">
      <c r="A856" s="4">
        <v>45071</v>
      </c>
      <c r="B856" s="5">
        <f t="shared" si="52"/>
        <v>25</v>
      </c>
      <c r="C856" s="5">
        <f t="shared" si="53"/>
        <v>5</v>
      </c>
      <c r="D856" s="5">
        <f t="shared" si="54"/>
        <v>2023</v>
      </c>
      <c r="E856" s="5" t="str">
        <f t="shared" si="55"/>
        <v>Q2</v>
      </c>
      <c r="F856" s="5">
        <v>121.1200027</v>
      </c>
      <c r="G856" s="5">
        <v>121.9100037</v>
      </c>
      <c r="H856" s="5">
        <v>119.86000060000001</v>
      </c>
      <c r="I856" s="5">
        <v>120.9000015</v>
      </c>
      <c r="J856" s="5">
        <v>34182600</v>
      </c>
      <c r="K856" s="5">
        <v>120.4633102</v>
      </c>
    </row>
    <row r="857" spans="1:11" hidden="1">
      <c r="A857" s="4">
        <v>45072</v>
      </c>
      <c r="B857" s="5">
        <f t="shared" si="52"/>
        <v>26</v>
      </c>
      <c r="C857" s="5">
        <f t="shared" si="53"/>
        <v>5</v>
      </c>
      <c r="D857" s="5">
        <f t="shared" si="54"/>
        <v>2023</v>
      </c>
      <c r="E857" s="5" t="str">
        <f t="shared" si="55"/>
        <v>Q2</v>
      </c>
      <c r="F857" s="5">
        <v>124.5199966</v>
      </c>
      <c r="G857" s="5">
        <v>125.3199997</v>
      </c>
      <c r="H857" s="5">
        <v>121.9599991</v>
      </c>
      <c r="I857" s="5">
        <v>123.4800034</v>
      </c>
      <c r="J857" s="5">
        <v>42317000</v>
      </c>
      <c r="K857" s="5">
        <v>123.03399659999999</v>
      </c>
    </row>
    <row r="858" spans="1:11" hidden="1">
      <c r="A858" s="4">
        <v>45076</v>
      </c>
      <c r="B858" s="5">
        <f t="shared" si="52"/>
        <v>30</v>
      </c>
      <c r="C858" s="5">
        <f t="shared" si="53"/>
        <v>5</v>
      </c>
      <c r="D858" s="5">
        <f t="shared" si="54"/>
        <v>2023</v>
      </c>
      <c r="E858" s="5" t="str">
        <f t="shared" si="55"/>
        <v>Q2</v>
      </c>
      <c r="F858" s="5">
        <v>123.16999819999999</v>
      </c>
      <c r="G858" s="5">
        <v>125.26000209999999</v>
      </c>
      <c r="H858" s="5">
        <v>122.4499969</v>
      </c>
      <c r="I858" s="5">
        <v>124.61000060000001</v>
      </c>
      <c r="J858" s="5">
        <v>35635900</v>
      </c>
      <c r="K858" s="5">
        <v>124.1599197</v>
      </c>
    </row>
    <row r="859" spans="1:11" hidden="1">
      <c r="A859" s="4">
        <v>45077</v>
      </c>
      <c r="B859" s="5">
        <f t="shared" si="52"/>
        <v>31</v>
      </c>
      <c r="C859" s="5">
        <f t="shared" si="53"/>
        <v>5</v>
      </c>
      <c r="D859" s="5">
        <f t="shared" si="54"/>
        <v>2023</v>
      </c>
      <c r="E859" s="5" t="str">
        <f t="shared" si="55"/>
        <v>Q2</v>
      </c>
      <c r="F859" s="5">
        <v>125.63999939999999</v>
      </c>
      <c r="G859" s="5">
        <v>125.6600037</v>
      </c>
      <c r="H859" s="5">
        <v>122</v>
      </c>
      <c r="I859" s="5">
        <v>123.66999819999999</v>
      </c>
      <c r="J859" s="5">
        <v>35076700</v>
      </c>
      <c r="K859" s="5">
        <v>123.2233047</v>
      </c>
    </row>
    <row r="860" spans="1:11" hidden="1">
      <c r="A860" s="4">
        <v>45078</v>
      </c>
      <c r="B860" s="5">
        <f t="shared" si="52"/>
        <v>1</v>
      </c>
      <c r="C860" s="5">
        <f t="shared" si="53"/>
        <v>6</v>
      </c>
      <c r="D860" s="5">
        <f t="shared" si="54"/>
        <v>2023</v>
      </c>
      <c r="E860" s="5" t="str">
        <f t="shared" si="55"/>
        <v>Q2</v>
      </c>
      <c r="F860" s="5">
        <v>122.75</v>
      </c>
      <c r="G860" s="5">
        <v>124.0599976</v>
      </c>
      <c r="H860" s="5">
        <v>122.5</v>
      </c>
      <c r="I860" s="5">
        <v>122.8700027</v>
      </c>
      <c r="J860" s="5">
        <v>37325800</v>
      </c>
      <c r="K860" s="5">
        <v>122.4261932</v>
      </c>
    </row>
    <row r="861" spans="1:11" hidden="1">
      <c r="A861" s="4">
        <v>45079</v>
      </c>
      <c r="B861" s="5">
        <f t="shared" si="52"/>
        <v>2</v>
      </c>
      <c r="C861" s="5">
        <f t="shared" si="53"/>
        <v>6</v>
      </c>
      <c r="D861" s="5">
        <f t="shared" si="54"/>
        <v>2023</v>
      </c>
      <c r="E861" s="5" t="str">
        <f t="shared" si="55"/>
        <v>Q2</v>
      </c>
      <c r="F861" s="5">
        <v>122.8199997</v>
      </c>
      <c r="G861" s="5">
        <v>124.41999819999999</v>
      </c>
      <c r="H861" s="5">
        <v>122.6200027</v>
      </c>
      <c r="I861" s="5">
        <v>123.7200012</v>
      </c>
      <c r="J861" s="5">
        <v>30772700</v>
      </c>
      <c r="K861" s="5">
        <v>123.2731247</v>
      </c>
    </row>
    <row r="862" spans="1:11" hidden="1">
      <c r="A862" s="4">
        <v>45082</v>
      </c>
      <c r="B862" s="5">
        <f t="shared" si="52"/>
        <v>5</v>
      </c>
      <c r="C862" s="5">
        <f t="shared" si="53"/>
        <v>6</v>
      </c>
      <c r="D862" s="5">
        <f t="shared" si="54"/>
        <v>2023</v>
      </c>
      <c r="E862" s="5" t="str">
        <f t="shared" si="55"/>
        <v>Q2</v>
      </c>
      <c r="F862" s="5">
        <v>123.98999790000001</v>
      </c>
      <c r="G862" s="5">
        <v>126.1500015</v>
      </c>
      <c r="H862" s="5">
        <v>123.76000209999999</v>
      </c>
      <c r="I862" s="5">
        <v>124.66999819999999</v>
      </c>
      <c r="J862" s="5">
        <v>26963100</v>
      </c>
      <c r="K862" s="5">
        <v>124.219696</v>
      </c>
    </row>
    <row r="863" spans="1:11" hidden="1">
      <c r="A863" s="4">
        <v>45083</v>
      </c>
      <c r="B863" s="5">
        <f t="shared" si="52"/>
        <v>6</v>
      </c>
      <c r="C863" s="5">
        <f t="shared" si="53"/>
        <v>6</v>
      </c>
      <c r="D863" s="5">
        <f t="shared" si="54"/>
        <v>2023</v>
      </c>
      <c r="E863" s="5" t="str">
        <f t="shared" si="55"/>
        <v>Q2</v>
      </c>
      <c r="F863" s="5">
        <v>124.01000209999999</v>
      </c>
      <c r="G863" s="5">
        <v>127.4300003</v>
      </c>
      <c r="H863" s="5">
        <v>123.8399963</v>
      </c>
      <c r="I863" s="5">
        <v>126.01000209999999</v>
      </c>
      <c r="J863" s="5">
        <v>32305500</v>
      </c>
      <c r="K863" s="5">
        <v>125.554863</v>
      </c>
    </row>
    <row r="864" spans="1:11" hidden="1">
      <c r="A864" s="4">
        <v>45084</v>
      </c>
      <c r="B864" s="5">
        <f t="shared" si="52"/>
        <v>7</v>
      </c>
      <c r="C864" s="5">
        <f t="shared" si="53"/>
        <v>6</v>
      </c>
      <c r="D864" s="5">
        <f t="shared" si="54"/>
        <v>2023</v>
      </c>
      <c r="E864" s="5" t="str">
        <f t="shared" si="55"/>
        <v>Q2</v>
      </c>
      <c r="F864" s="5">
        <v>126.01000209999999</v>
      </c>
      <c r="G864" s="5">
        <v>128.28999329999999</v>
      </c>
      <c r="H864" s="5">
        <v>125.36000060000001</v>
      </c>
      <c r="I864" s="5">
        <v>127.3099976</v>
      </c>
      <c r="J864" s="5">
        <v>26638300</v>
      </c>
      <c r="K864" s="5">
        <v>126.85015869999999</v>
      </c>
    </row>
    <row r="865" spans="1:11" hidden="1">
      <c r="A865" s="4">
        <v>45085</v>
      </c>
      <c r="B865" s="5">
        <f t="shared" si="52"/>
        <v>8</v>
      </c>
      <c r="C865" s="5">
        <f t="shared" si="53"/>
        <v>6</v>
      </c>
      <c r="D865" s="5">
        <f t="shared" si="54"/>
        <v>2023</v>
      </c>
      <c r="E865" s="5" t="str">
        <f t="shared" si="55"/>
        <v>Q2</v>
      </c>
      <c r="F865" s="5">
        <v>126.9700012</v>
      </c>
      <c r="G865" s="5">
        <v>129.03999329999999</v>
      </c>
      <c r="H865" s="5">
        <v>122.1200027</v>
      </c>
      <c r="I865" s="5">
        <v>122.5</v>
      </c>
      <c r="J865" s="5">
        <v>52539000</v>
      </c>
      <c r="K865" s="5">
        <v>122.0575333</v>
      </c>
    </row>
    <row r="866" spans="1:11" hidden="1">
      <c r="A866" s="4">
        <v>45086</v>
      </c>
      <c r="B866" s="5">
        <f t="shared" si="52"/>
        <v>9</v>
      </c>
      <c r="C866" s="5">
        <f t="shared" si="53"/>
        <v>6</v>
      </c>
      <c r="D866" s="5">
        <f t="shared" si="54"/>
        <v>2023</v>
      </c>
      <c r="E866" s="5" t="str">
        <f t="shared" si="55"/>
        <v>Q2</v>
      </c>
      <c r="F866" s="5">
        <v>122.2300034</v>
      </c>
      <c r="G866" s="5">
        <v>123.2300034</v>
      </c>
      <c r="H866" s="5">
        <v>121.23999790000001</v>
      </c>
      <c r="I866" s="5">
        <v>122.13999939999999</v>
      </c>
      <c r="J866" s="5">
        <v>29389200</v>
      </c>
      <c r="K866" s="5">
        <v>121.6988297</v>
      </c>
    </row>
    <row r="867" spans="1:11" hidden="1">
      <c r="A867" s="4">
        <v>45089</v>
      </c>
      <c r="B867" s="5">
        <f t="shared" si="52"/>
        <v>12</v>
      </c>
      <c r="C867" s="5">
        <f t="shared" si="53"/>
        <v>6</v>
      </c>
      <c r="D867" s="5">
        <f t="shared" si="54"/>
        <v>2023</v>
      </c>
      <c r="E867" s="5" t="str">
        <f t="shared" si="55"/>
        <v>Q2</v>
      </c>
      <c r="F867" s="5">
        <v>122.25</v>
      </c>
      <c r="G867" s="5">
        <v>123.76000209999999</v>
      </c>
      <c r="H867" s="5">
        <v>121.9100037</v>
      </c>
      <c r="I867" s="5">
        <v>122.2300034</v>
      </c>
      <c r="J867" s="5">
        <v>23762500</v>
      </c>
      <c r="K867" s="5">
        <v>121.7885132</v>
      </c>
    </row>
    <row r="868" spans="1:11" hidden="1">
      <c r="A868" s="4">
        <v>45090</v>
      </c>
      <c r="B868" s="5">
        <f t="shared" si="52"/>
        <v>13</v>
      </c>
      <c r="C868" s="5">
        <f t="shared" si="53"/>
        <v>6</v>
      </c>
      <c r="D868" s="5">
        <f t="shared" si="54"/>
        <v>2023</v>
      </c>
      <c r="E868" s="5" t="str">
        <f t="shared" si="55"/>
        <v>Q2</v>
      </c>
      <c r="F868" s="5">
        <v>122.7900009</v>
      </c>
      <c r="G868" s="5">
        <v>124.0500031</v>
      </c>
      <c r="H868" s="5">
        <v>121.6600037</v>
      </c>
      <c r="I868" s="5">
        <v>123.63999939999999</v>
      </c>
      <c r="J868" s="5">
        <v>28306400</v>
      </c>
      <c r="K868" s="5">
        <v>123.1934128</v>
      </c>
    </row>
    <row r="869" spans="1:11" hidden="1">
      <c r="A869" s="4">
        <v>45091</v>
      </c>
      <c r="B869" s="5">
        <f t="shared" si="52"/>
        <v>14</v>
      </c>
      <c r="C869" s="5">
        <f t="shared" si="53"/>
        <v>6</v>
      </c>
      <c r="D869" s="5">
        <f t="shared" si="54"/>
        <v>2023</v>
      </c>
      <c r="E869" s="5" t="str">
        <f t="shared" si="55"/>
        <v>Q2</v>
      </c>
      <c r="F869" s="5">
        <v>124.9800034</v>
      </c>
      <c r="G869" s="5">
        <v>125.1600037</v>
      </c>
      <c r="H869" s="5">
        <v>123.1800003</v>
      </c>
      <c r="I869" s="5">
        <v>123.83000180000001</v>
      </c>
      <c r="J869" s="5">
        <v>22278300</v>
      </c>
      <c r="K869" s="5">
        <v>123.3827362</v>
      </c>
    </row>
    <row r="870" spans="1:11" hidden="1">
      <c r="A870" s="4">
        <v>45092</v>
      </c>
      <c r="B870" s="5">
        <f t="shared" si="52"/>
        <v>15</v>
      </c>
      <c r="C870" s="5">
        <f t="shared" si="53"/>
        <v>6</v>
      </c>
      <c r="D870" s="5">
        <f t="shared" si="54"/>
        <v>2023</v>
      </c>
      <c r="E870" s="5" t="str">
        <f t="shared" si="55"/>
        <v>Q2</v>
      </c>
      <c r="F870" s="5">
        <v>123.0999985</v>
      </c>
      <c r="G870" s="5">
        <v>124.0500031</v>
      </c>
      <c r="H870" s="5">
        <v>121.4499969</v>
      </c>
      <c r="I870" s="5">
        <v>123.66999819999999</v>
      </c>
      <c r="J870" s="5">
        <v>30592300</v>
      </c>
      <c r="K870" s="5">
        <v>123.2233047</v>
      </c>
    </row>
    <row r="871" spans="1:11" hidden="1">
      <c r="A871" s="4">
        <v>45093</v>
      </c>
      <c r="B871" s="5">
        <f t="shared" si="52"/>
        <v>16</v>
      </c>
      <c r="C871" s="5">
        <f t="shared" si="53"/>
        <v>6</v>
      </c>
      <c r="D871" s="5">
        <f t="shared" si="54"/>
        <v>2023</v>
      </c>
      <c r="E871" s="5" t="str">
        <f t="shared" si="55"/>
        <v>Q2</v>
      </c>
      <c r="F871" s="5">
        <v>123.13999939999999</v>
      </c>
      <c r="G871" s="5">
        <v>125.4599991</v>
      </c>
      <c r="H871" s="5">
        <v>122.4000015</v>
      </c>
      <c r="I871" s="5">
        <v>125.0899963</v>
      </c>
      <c r="J871" s="5">
        <v>35246300</v>
      </c>
      <c r="K871" s="5">
        <v>124.638176</v>
      </c>
    </row>
    <row r="872" spans="1:11" hidden="1">
      <c r="A872" s="4">
        <v>45097</v>
      </c>
      <c r="B872" s="5">
        <f t="shared" si="52"/>
        <v>20</v>
      </c>
      <c r="C872" s="5">
        <f t="shared" si="53"/>
        <v>6</v>
      </c>
      <c r="D872" s="5">
        <f t="shared" si="54"/>
        <v>2023</v>
      </c>
      <c r="E872" s="5" t="str">
        <f t="shared" si="55"/>
        <v>Q2</v>
      </c>
      <c r="F872" s="5">
        <v>125.9300003</v>
      </c>
      <c r="G872" s="5">
        <v>126.11000060000001</v>
      </c>
      <c r="H872" s="5">
        <v>123.2799988</v>
      </c>
      <c r="I872" s="5">
        <v>123.5299988</v>
      </c>
      <c r="J872" s="5">
        <v>45514000</v>
      </c>
      <c r="K872" s="5">
        <v>123.08380889999999</v>
      </c>
    </row>
    <row r="873" spans="1:11" hidden="1">
      <c r="A873" s="4">
        <v>45098</v>
      </c>
      <c r="B873" s="5">
        <f t="shared" si="52"/>
        <v>21</v>
      </c>
      <c r="C873" s="5">
        <f t="shared" si="53"/>
        <v>6</v>
      </c>
      <c r="D873" s="5">
        <f t="shared" si="54"/>
        <v>2023</v>
      </c>
      <c r="E873" s="5" t="str">
        <f t="shared" si="55"/>
        <v>Q2</v>
      </c>
      <c r="F873" s="5">
        <v>122.9300003</v>
      </c>
      <c r="G873" s="5">
        <v>124.5699997</v>
      </c>
      <c r="H873" s="5">
        <v>122.13999939999999</v>
      </c>
      <c r="I873" s="5">
        <v>123.0999985</v>
      </c>
      <c r="J873" s="5">
        <v>26097500</v>
      </c>
      <c r="K873" s="5">
        <v>122.655365</v>
      </c>
    </row>
    <row r="874" spans="1:11" hidden="1">
      <c r="A874" s="4">
        <v>45099</v>
      </c>
      <c r="B874" s="5">
        <f t="shared" si="52"/>
        <v>22</v>
      </c>
      <c r="C874" s="5">
        <f t="shared" si="53"/>
        <v>6</v>
      </c>
      <c r="D874" s="5">
        <f t="shared" si="54"/>
        <v>2023</v>
      </c>
      <c r="E874" s="5" t="str">
        <f t="shared" si="55"/>
        <v>Q2</v>
      </c>
      <c r="F874" s="5">
        <v>122.4000015</v>
      </c>
      <c r="G874" s="5">
        <v>122.6600037</v>
      </c>
      <c r="H874" s="5">
        <v>120.0999985</v>
      </c>
      <c r="I874" s="5">
        <v>120.5500031</v>
      </c>
      <c r="J874" s="5">
        <v>30306300</v>
      </c>
      <c r="K874" s="5">
        <v>120.1145782</v>
      </c>
    </row>
    <row r="875" spans="1:11" hidden="1">
      <c r="A875" s="4">
        <v>45100</v>
      </c>
      <c r="B875" s="5">
        <f t="shared" si="52"/>
        <v>23</v>
      </c>
      <c r="C875" s="5">
        <f t="shared" si="53"/>
        <v>6</v>
      </c>
      <c r="D875" s="5">
        <f t="shared" si="54"/>
        <v>2023</v>
      </c>
      <c r="E875" s="5" t="str">
        <f t="shared" si="55"/>
        <v>Q2</v>
      </c>
      <c r="F875" s="5">
        <v>120</v>
      </c>
      <c r="G875" s="5">
        <v>123.23999790000001</v>
      </c>
      <c r="H875" s="5">
        <v>118.83000180000001</v>
      </c>
      <c r="I875" s="5">
        <v>123.1500015</v>
      </c>
      <c r="J875" s="5">
        <v>26952200</v>
      </c>
      <c r="K875" s="5">
        <v>122.70518490000001</v>
      </c>
    </row>
    <row r="876" spans="1:11" hidden="1">
      <c r="A876" s="4">
        <v>45103</v>
      </c>
      <c r="B876" s="5">
        <f t="shared" si="52"/>
        <v>26</v>
      </c>
      <c r="C876" s="5">
        <f t="shared" si="53"/>
        <v>6</v>
      </c>
      <c r="D876" s="5">
        <f t="shared" si="54"/>
        <v>2023</v>
      </c>
      <c r="E876" s="5" t="str">
        <f t="shared" si="55"/>
        <v>Q2</v>
      </c>
      <c r="F876" s="5">
        <v>121.3799973</v>
      </c>
      <c r="G876" s="5">
        <v>122.7900009</v>
      </c>
      <c r="H876" s="5">
        <v>121.0599976</v>
      </c>
      <c r="I876" s="5">
        <v>122.3399963</v>
      </c>
      <c r="J876" s="5">
        <v>34885300</v>
      </c>
      <c r="K876" s="5">
        <v>121.89810180000001</v>
      </c>
    </row>
    <row r="877" spans="1:11" hidden="1">
      <c r="A877" s="4">
        <v>45104</v>
      </c>
      <c r="B877" s="5">
        <f t="shared" si="52"/>
        <v>27</v>
      </c>
      <c r="C877" s="5">
        <f t="shared" si="53"/>
        <v>6</v>
      </c>
      <c r="D877" s="5">
        <f t="shared" si="54"/>
        <v>2023</v>
      </c>
      <c r="E877" s="5" t="str">
        <f t="shared" si="55"/>
        <v>Q2</v>
      </c>
      <c r="F877" s="5">
        <v>120.76000209999999</v>
      </c>
      <c r="G877" s="5">
        <v>122</v>
      </c>
      <c r="H877" s="5">
        <v>118.2699966</v>
      </c>
      <c r="I877" s="5">
        <v>118.3399963</v>
      </c>
      <c r="J877" s="5">
        <v>33969900</v>
      </c>
      <c r="K877" s="5">
        <v>117.91254429999999</v>
      </c>
    </row>
    <row r="878" spans="1:11" hidden="1">
      <c r="A878" s="4">
        <v>45105</v>
      </c>
      <c r="B878" s="5">
        <f t="shared" si="52"/>
        <v>28</v>
      </c>
      <c r="C878" s="5">
        <f t="shared" si="53"/>
        <v>6</v>
      </c>
      <c r="D878" s="5">
        <f t="shared" si="54"/>
        <v>2023</v>
      </c>
      <c r="E878" s="5" t="str">
        <f t="shared" si="55"/>
        <v>Q2</v>
      </c>
      <c r="F878" s="5">
        <v>117.08000180000001</v>
      </c>
      <c r="G878" s="5">
        <v>119.08000180000001</v>
      </c>
      <c r="H878" s="5">
        <v>116.0999985</v>
      </c>
      <c r="I878" s="5">
        <v>118.33000180000001</v>
      </c>
      <c r="J878" s="5">
        <v>39535900</v>
      </c>
      <c r="K878" s="5">
        <v>117.9025955</v>
      </c>
    </row>
    <row r="879" spans="1:11" hidden="1">
      <c r="A879" s="4">
        <v>45106</v>
      </c>
      <c r="B879" s="5">
        <f t="shared" si="52"/>
        <v>29</v>
      </c>
      <c r="C879" s="5">
        <f t="shared" si="53"/>
        <v>6</v>
      </c>
      <c r="D879" s="5">
        <f t="shared" si="54"/>
        <v>2023</v>
      </c>
      <c r="E879" s="5" t="str">
        <f t="shared" si="55"/>
        <v>Q2</v>
      </c>
      <c r="F879" s="5">
        <v>117.0899963</v>
      </c>
      <c r="G879" s="5">
        <v>120.38999939999999</v>
      </c>
      <c r="H879" s="5">
        <v>116.8499985</v>
      </c>
      <c r="I879" s="5">
        <v>120.1800003</v>
      </c>
      <c r="J879" s="5">
        <v>27091400</v>
      </c>
      <c r="K879" s="5">
        <v>119.7459106</v>
      </c>
    </row>
    <row r="880" spans="1:11" hidden="1">
      <c r="A880" s="4">
        <v>45107</v>
      </c>
      <c r="B880" s="5">
        <f t="shared" si="52"/>
        <v>30</v>
      </c>
      <c r="C880" s="5">
        <f t="shared" si="53"/>
        <v>6</v>
      </c>
      <c r="D880" s="5">
        <f t="shared" si="54"/>
        <v>2023</v>
      </c>
      <c r="E880" s="5" t="str">
        <f t="shared" si="55"/>
        <v>Q2</v>
      </c>
      <c r="F880" s="5">
        <v>119.23999790000001</v>
      </c>
      <c r="G880" s="5">
        <v>120.0599976</v>
      </c>
      <c r="H880" s="5">
        <v>118.3000031</v>
      </c>
      <c r="I880" s="5">
        <v>119.0999985</v>
      </c>
      <c r="J880" s="5">
        <v>24090900</v>
      </c>
      <c r="K880" s="5">
        <v>118.6698074</v>
      </c>
    </row>
    <row r="881" spans="1:11" hidden="1">
      <c r="A881" s="4">
        <v>45110</v>
      </c>
      <c r="B881" s="5">
        <f t="shared" si="52"/>
        <v>3</v>
      </c>
      <c r="C881" s="5">
        <f t="shared" si="53"/>
        <v>7</v>
      </c>
      <c r="D881" s="5">
        <f t="shared" si="54"/>
        <v>2023</v>
      </c>
      <c r="E881" s="5" t="str">
        <f t="shared" si="55"/>
        <v>Q3</v>
      </c>
      <c r="F881" s="5">
        <v>120.16999819999999</v>
      </c>
      <c r="G881" s="5">
        <v>121.08000180000001</v>
      </c>
      <c r="H881" s="5">
        <v>119.6900024</v>
      </c>
      <c r="I881" s="5">
        <v>119.6999969</v>
      </c>
      <c r="J881" s="5">
        <v>29519700</v>
      </c>
      <c r="K881" s="5">
        <v>119.2676392</v>
      </c>
    </row>
    <row r="882" spans="1:11" hidden="1">
      <c r="A882" s="4">
        <v>45112</v>
      </c>
      <c r="B882" s="5">
        <f t="shared" si="52"/>
        <v>5</v>
      </c>
      <c r="C882" s="5">
        <f t="shared" si="53"/>
        <v>7</v>
      </c>
      <c r="D882" s="5">
        <f t="shared" si="54"/>
        <v>2023</v>
      </c>
      <c r="E882" s="5" t="str">
        <f t="shared" si="55"/>
        <v>Q3</v>
      </c>
      <c r="F882" s="5">
        <v>119.23999790000001</v>
      </c>
      <c r="G882" s="5">
        <v>120.1900024</v>
      </c>
      <c r="H882" s="5">
        <v>118.8199997</v>
      </c>
      <c r="I882" s="5">
        <v>119.9000015</v>
      </c>
      <c r="J882" s="5">
        <v>14467900</v>
      </c>
      <c r="K882" s="5">
        <v>119.46692659999999</v>
      </c>
    </row>
    <row r="883" spans="1:11" hidden="1">
      <c r="A883" s="4">
        <v>45113</v>
      </c>
      <c r="B883" s="5">
        <f t="shared" si="52"/>
        <v>6</v>
      </c>
      <c r="C883" s="5">
        <f t="shared" si="53"/>
        <v>7</v>
      </c>
      <c r="D883" s="5">
        <f t="shared" si="54"/>
        <v>2023</v>
      </c>
      <c r="E883" s="5" t="str">
        <f t="shared" si="55"/>
        <v>Q3</v>
      </c>
      <c r="F883" s="5">
        <v>119.23999790000001</v>
      </c>
      <c r="G883" s="5">
        <v>122.61000060000001</v>
      </c>
      <c r="H883" s="5">
        <v>119.2300034</v>
      </c>
      <c r="I883" s="5">
        <v>121.75</v>
      </c>
      <c r="J883" s="5">
        <v>27584800</v>
      </c>
      <c r="K883" s="5">
        <v>121.31024170000001</v>
      </c>
    </row>
    <row r="884" spans="1:11" hidden="1">
      <c r="A884" s="4">
        <v>45114</v>
      </c>
      <c r="B884" s="5">
        <f t="shared" si="52"/>
        <v>7</v>
      </c>
      <c r="C884" s="5">
        <f t="shared" si="53"/>
        <v>7</v>
      </c>
      <c r="D884" s="5">
        <f t="shared" si="54"/>
        <v>2023</v>
      </c>
      <c r="E884" s="5" t="str">
        <f t="shared" si="55"/>
        <v>Q3</v>
      </c>
      <c r="F884" s="5">
        <v>119.8000031</v>
      </c>
      <c r="G884" s="5">
        <v>120.3000031</v>
      </c>
      <c r="H884" s="5">
        <v>118.4000015</v>
      </c>
      <c r="I884" s="5">
        <v>120.11000060000001</v>
      </c>
      <c r="J884" s="5">
        <v>24745200</v>
      </c>
      <c r="K884" s="5">
        <v>119.67616270000001</v>
      </c>
    </row>
    <row r="885" spans="1:11" hidden="1">
      <c r="A885" s="4">
        <v>45117</v>
      </c>
      <c r="B885" s="5">
        <f t="shared" si="52"/>
        <v>10</v>
      </c>
      <c r="C885" s="5">
        <f t="shared" si="53"/>
        <v>7</v>
      </c>
      <c r="D885" s="5">
        <f t="shared" si="54"/>
        <v>2023</v>
      </c>
      <c r="E885" s="5" t="str">
        <f t="shared" si="55"/>
        <v>Q3</v>
      </c>
      <c r="F885" s="5">
        <v>120.0999985</v>
      </c>
      <c r="G885" s="5">
        <v>121.0500031</v>
      </c>
      <c r="H885" s="5">
        <v>119.4000015</v>
      </c>
      <c r="I885" s="5">
        <v>119.4800034</v>
      </c>
      <c r="J885" s="5">
        <v>21692600</v>
      </c>
      <c r="K885" s="5">
        <v>119.0484467</v>
      </c>
    </row>
    <row r="886" spans="1:11" hidden="1">
      <c r="A886" s="4">
        <v>45118</v>
      </c>
      <c r="B886" s="5">
        <f t="shared" si="52"/>
        <v>11</v>
      </c>
      <c r="C886" s="5">
        <f t="shared" si="53"/>
        <v>7</v>
      </c>
      <c r="D886" s="5">
        <f t="shared" si="54"/>
        <v>2023</v>
      </c>
      <c r="E886" s="5" t="str">
        <f t="shared" si="55"/>
        <v>Q3</v>
      </c>
      <c r="F886" s="5">
        <v>118.3000031</v>
      </c>
      <c r="G886" s="5">
        <v>118.3099976</v>
      </c>
      <c r="H886" s="5">
        <v>116.13999939999999</v>
      </c>
      <c r="I886" s="5">
        <v>116.4499969</v>
      </c>
      <c r="J886" s="5">
        <v>35315200</v>
      </c>
      <c r="K886" s="5">
        <v>116.0293808</v>
      </c>
    </row>
    <row r="887" spans="1:11" hidden="1">
      <c r="A887" s="4">
        <v>45119</v>
      </c>
      <c r="B887" s="5">
        <f t="shared" si="52"/>
        <v>12</v>
      </c>
      <c r="C887" s="5">
        <f t="shared" si="53"/>
        <v>7</v>
      </c>
      <c r="D887" s="5">
        <f t="shared" si="54"/>
        <v>2023</v>
      </c>
      <c r="E887" s="5" t="str">
        <f t="shared" si="55"/>
        <v>Q3</v>
      </c>
      <c r="F887" s="5">
        <v>116.2900009</v>
      </c>
      <c r="G887" s="5">
        <v>117.7099991</v>
      </c>
      <c r="H887" s="5">
        <v>115.3499985</v>
      </c>
      <c r="I887" s="5">
        <v>117.13999939999999</v>
      </c>
      <c r="J887" s="5">
        <v>23078800</v>
      </c>
      <c r="K887" s="5">
        <v>116.7168961</v>
      </c>
    </row>
    <row r="888" spans="1:11" hidden="1">
      <c r="A888" s="4">
        <v>45120</v>
      </c>
      <c r="B888" s="5">
        <f t="shared" si="52"/>
        <v>13</v>
      </c>
      <c r="C888" s="5">
        <f t="shared" si="53"/>
        <v>7</v>
      </c>
      <c r="D888" s="5">
        <f t="shared" si="54"/>
        <v>2023</v>
      </c>
      <c r="E888" s="5" t="str">
        <f t="shared" si="55"/>
        <v>Q3</v>
      </c>
      <c r="F888" s="5">
        <v>118.8000031</v>
      </c>
      <c r="G888" s="5">
        <v>120.33000180000001</v>
      </c>
      <c r="H888" s="5">
        <v>118.4100037</v>
      </c>
      <c r="I888" s="5">
        <v>118.9300003</v>
      </c>
      <c r="J888" s="5">
        <v>30404400</v>
      </c>
      <c r="K888" s="5">
        <v>118.5004272</v>
      </c>
    </row>
    <row r="889" spans="1:11" hidden="1">
      <c r="A889" s="4">
        <v>45121</v>
      </c>
      <c r="B889" s="5">
        <f t="shared" si="52"/>
        <v>14</v>
      </c>
      <c r="C889" s="5">
        <f t="shared" si="53"/>
        <v>7</v>
      </c>
      <c r="D889" s="5">
        <f t="shared" si="54"/>
        <v>2023</v>
      </c>
      <c r="E889" s="5" t="str">
        <f t="shared" si="55"/>
        <v>Q3</v>
      </c>
      <c r="F889" s="5">
        <v>120.9300003</v>
      </c>
      <c r="G889" s="5">
        <v>124.83000180000001</v>
      </c>
      <c r="H889" s="5">
        <v>120.4499969</v>
      </c>
      <c r="I889" s="5">
        <v>124.5400009</v>
      </c>
      <c r="J889" s="5">
        <v>44297900</v>
      </c>
      <c r="K889" s="5">
        <v>124.0901642</v>
      </c>
    </row>
    <row r="890" spans="1:11" hidden="1">
      <c r="A890" s="4">
        <v>45124</v>
      </c>
      <c r="B890" s="5">
        <f t="shared" si="52"/>
        <v>17</v>
      </c>
      <c r="C890" s="5">
        <f t="shared" si="53"/>
        <v>7</v>
      </c>
      <c r="D890" s="5">
        <f t="shared" si="54"/>
        <v>2023</v>
      </c>
      <c r="E890" s="5" t="str">
        <f t="shared" si="55"/>
        <v>Q3</v>
      </c>
      <c r="F890" s="5">
        <v>124.8000031</v>
      </c>
      <c r="G890" s="5">
        <v>126.7799988</v>
      </c>
      <c r="H890" s="5">
        <v>123.48999790000001</v>
      </c>
      <c r="I890" s="5">
        <v>125.41999819999999</v>
      </c>
      <c r="J890" s="5">
        <v>33266800</v>
      </c>
      <c r="K890" s="5">
        <v>124.96698000000001</v>
      </c>
    </row>
    <row r="891" spans="1:11" hidden="1">
      <c r="A891" s="4">
        <v>45125</v>
      </c>
      <c r="B891" s="5">
        <f t="shared" si="52"/>
        <v>18</v>
      </c>
      <c r="C891" s="5">
        <f t="shared" si="53"/>
        <v>7</v>
      </c>
      <c r="D891" s="5">
        <f t="shared" si="54"/>
        <v>2023</v>
      </c>
      <c r="E891" s="5" t="str">
        <f t="shared" si="55"/>
        <v>Q3</v>
      </c>
      <c r="F891" s="5">
        <v>125.9400024</v>
      </c>
      <c r="G891" s="5">
        <v>127.0999985</v>
      </c>
      <c r="H891" s="5">
        <v>124.1999969</v>
      </c>
      <c r="I891" s="5">
        <v>124.6500015</v>
      </c>
      <c r="J891" s="5">
        <v>25716200</v>
      </c>
      <c r="K891" s="5">
        <v>124.1997757</v>
      </c>
    </row>
    <row r="892" spans="1:11" hidden="1">
      <c r="A892" s="4">
        <v>45126</v>
      </c>
      <c r="B892" s="5">
        <f t="shared" si="52"/>
        <v>19</v>
      </c>
      <c r="C892" s="5">
        <f t="shared" si="53"/>
        <v>7</v>
      </c>
      <c r="D892" s="5">
        <f t="shared" si="54"/>
        <v>2023</v>
      </c>
      <c r="E892" s="5" t="str">
        <f t="shared" si="55"/>
        <v>Q3</v>
      </c>
      <c r="F892" s="5">
        <v>124.5999985</v>
      </c>
      <c r="G892" s="5">
        <v>124.6800003</v>
      </c>
      <c r="H892" s="5">
        <v>122.9599991</v>
      </c>
      <c r="I892" s="5">
        <v>123.76000209999999</v>
      </c>
      <c r="J892" s="5">
        <v>26226400</v>
      </c>
      <c r="K892" s="5">
        <v>123.3129807</v>
      </c>
    </row>
    <row r="893" spans="1:11" hidden="1">
      <c r="A893" s="4">
        <v>45127</v>
      </c>
      <c r="B893" s="5">
        <f t="shared" si="52"/>
        <v>20</v>
      </c>
      <c r="C893" s="5">
        <f t="shared" si="53"/>
        <v>7</v>
      </c>
      <c r="D893" s="5">
        <f t="shared" si="54"/>
        <v>2023</v>
      </c>
      <c r="E893" s="5" t="str">
        <f t="shared" si="55"/>
        <v>Q3</v>
      </c>
      <c r="F893" s="5">
        <v>124.5999985</v>
      </c>
      <c r="G893" s="5">
        <v>125.1800003</v>
      </c>
      <c r="H893" s="5">
        <v>121.8000031</v>
      </c>
      <c r="I893" s="5">
        <v>122.0299988</v>
      </c>
      <c r="J893" s="5">
        <v>37224000</v>
      </c>
      <c r="K893" s="5">
        <v>121.58922579999999</v>
      </c>
    </row>
    <row r="894" spans="1:11" hidden="1">
      <c r="A894" s="4">
        <v>45128</v>
      </c>
      <c r="B894" s="5">
        <f t="shared" si="52"/>
        <v>21</v>
      </c>
      <c r="C894" s="5">
        <f t="shared" si="53"/>
        <v>7</v>
      </c>
      <c r="D894" s="5">
        <f t="shared" si="54"/>
        <v>2023</v>
      </c>
      <c r="E894" s="5" t="str">
        <f t="shared" si="55"/>
        <v>Q3</v>
      </c>
      <c r="F894" s="5">
        <v>121.41999819999999</v>
      </c>
      <c r="G894" s="5">
        <v>124.0899963</v>
      </c>
      <c r="H894" s="5">
        <v>118.2200012</v>
      </c>
      <c r="I894" s="5">
        <v>119.1999969</v>
      </c>
      <c r="J894" s="5">
        <v>37906800</v>
      </c>
      <c r="K894" s="5">
        <v>118.76943970000001</v>
      </c>
    </row>
    <row r="895" spans="1:11" hidden="1">
      <c r="A895" s="4">
        <v>45131</v>
      </c>
      <c r="B895" s="5">
        <f t="shared" si="52"/>
        <v>24</v>
      </c>
      <c r="C895" s="5">
        <f t="shared" si="53"/>
        <v>7</v>
      </c>
      <c r="D895" s="5">
        <f t="shared" si="54"/>
        <v>2023</v>
      </c>
      <c r="E895" s="5" t="str">
        <f t="shared" si="55"/>
        <v>Q3</v>
      </c>
      <c r="F895" s="5">
        <v>120.6200027</v>
      </c>
      <c r="G895" s="5">
        <v>120.98999790000001</v>
      </c>
      <c r="H895" s="5">
        <v>118.7300034</v>
      </c>
      <c r="I895" s="5">
        <v>120.0199966</v>
      </c>
      <c r="J895" s="5">
        <v>72937900</v>
      </c>
      <c r="K895" s="5">
        <v>119.5864868</v>
      </c>
    </row>
    <row r="896" spans="1:11" hidden="1">
      <c r="A896" s="4">
        <v>45132</v>
      </c>
      <c r="B896" s="5">
        <f t="shared" si="52"/>
        <v>25</v>
      </c>
      <c r="C896" s="5">
        <f t="shared" si="53"/>
        <v>7</v>
      </c>
      <c r="D896" s="5">
        <f t="shared" si="54"/>
        <v>2023</v>
      </c>
      <c r="E896" s="5" t="str">
        <f t="shared" si="55"/>
        <v>Q3</v>
      </c>
      <c r="F896" s="5">
        <v>121.6600037</v>
      </c>
      <c r="G896" s="5">
        <v>123</v>
      </c>
      <c r="H896" s="5">
        <v>120.9800034</v>
      </c>
      <c r="I896" s="5">
        <v>121.5299988</v>
      </c>
      <c r="J896" s="5">
        <v>29686100</v>
      </c>
      <c r="K896" s="5">
        <v>121.0910339</v>
      </c>
    </row>
    <row r="897" spans="1:11" hidden="1">
      <c r="A897" s="4">
        <v>45133</v>
      </c>
      <c r="B897" s="5">
        <f t="shared" si="52"/>
        <v>26</v>
      </c>
      <c r="C897" s="5">
        <f t="shared" si="53"/>
        <v>7</v>
      </c>
      <c r="D897" s="5">
        <f t="shared" si="54"/>
        <v>2023</v>
      </c>
      <c r="E897" s="5" t="str">
        <f t="shared" si="55"/>
        <v>Q3</v>
      </c>
      <c r="F897" s="5">
        <v>121.36000060000001</v>
      </c>
      <c r="G897" s="5">
        <v>123.1500015</v>
      </c>
      <c r="H897" s="5">
        <v>121.0199966</v>
      </c>
      <c r="I897" s="5">
        <v>122.2099991</v>
      </c>
      <c r="J897" s="5">
        <v>52509600</v>
      </c>
      <c r="K897" s="5">
        <v>121.7685776</v>
      </c>
    </row>
    <row r="898" spans="1:11" hidden="1">
      <c r="A898" s="4">
        <v>45134</v>
      </c>
      <c r="B898" s="5">
        <f t="shared" ref="B898:B961" si="56">DAY(A898)</f>
        <v>27</v>
      </c>
      <c r="C898" s="5">
        <f t="shared" ref="C898:C961" si="57">MONTH(A898)</f>
        <v>7</v>
      </c>
      <c r="D898" s="5">
        <f t="shared" ref="D898:D961" si="58">YEAR(A898)</f>
        <v>2023</v>
      </c>
      <c r="E898" s="5" t="str">
        <f t="shared" ref="E898:E961" si="59">"Q"&amp;ROUNDUP(MONTH(A898)/3,0)</f>
        <v>Q3</v>
      </c>
      <c r="F898" s="5">
        <v>130.07000729999999</v>
      </c>
      <c r="G898" s="5">
        <v>130.97999569999999</v>
      </c>
      <c r="H898" s="5">
        <v>128.32000729999999</v>
      </c>
      <c r="I898" s="5">
        <v>129.27000430000001</v>
      </c>
      <c r="J898" s="5">
        <v>61682100</v>
      </c>
      <c r="K898" s="5">
        <v>128.80308529999999</v>
      </c>
    </row>
    <row r="899" spans="1:11" hidden="1">
      <c r="A899" s="4">
        <v>45135</v>
      </c>
      <c r="B899" s="5">
        <f t="shared" si="56"/>
        <v>28</v>
      </c>
      <c r="C899" s="5">
        <f t="shared" si="57"/>
        <v>7</v>
      </c>
      <c r="D899" s="5">
        <f t="shared" si="58"/>
        <v>2023</v>
      </c>
      <c r="E899" s="5" t="str">
        <f t="shared" si="59"/>
        <v>Q3</v>
      </c>
      <c r="F899" s="5">
        <v>131.66999820000001</v>
      </c>
      <c r="G899" s="5">
        <v>133.2400055</v>
      </c>
      <c r="H899" s="5">
        <v>128.78999329999999</v>
      </c>
      <c r="I899" s="5">
        <v>129.3999939</v>
      </c>
      <c r="J899" s="5">
        <v>44952100</v>
      </c>
      <c r="K899" s="5">
        <v>128.93260190000001</v>
      </c>
    </row>
    <row r="900" spans="1:11" hidden="1">
      <c r="A900" s="4">
        <v>45138</v>
      </c>
      <c r="B900" s="5">
        <f t="shared" si="56"/>
        <v>31</v>
      </c>
      <c r="C900" s="5">
        <f t="shared" si="57"/>
        <v>7</v>
      </c>
      <c r="D900" s="5">
        <f t="shared" si="58"/>
        <v>2023</v>
      </c>
      <c r="E900" s="5" t="str">
        <f t="shared" si="59"/>
        <v>Q3</v>
      </c>
      <c r="F900" s="5">
        <v>130.77999879999999</v>
      </c>
      <c r="G900" s="5">
        <v>133.7400055</v>
      </c>
      <c r="H900" s="5">
        <v>130.57000729999999</v>
      </c>
      <c r="I900" s="5">
        <v>132.58000179999999</v>
      </c>
      <c r="J900" s="5">
        <v>36591200</v>
      </c>
      <c r="K900" s="5">
        <v>132.10112000000001</v>
      </c>
    </row>
    <row r="901" spans="1:11" hidden="1">
      <c r="A901" s="4">
        <v>45139</v>
      </c>
      <c r="B901" s="5">
        <f t="shared" si="56"/>
        <v>1</v>
      </c>
      <c r="C901" s="5">
        <f t="shared" si="57"/>
        <v>8</v>
      </c>
      <c r="D901" s="5">
        <f t="shared" si="58"/>
        <v>2023</v>
      </c>
      <c r="E901" s="5" t="str">
        <f t="shared" si="59"/>
        <v>Q3</v>
      </c>
      <c r="F901" s="5">
        <v>132.72999569999999</v>
      </c>
      <c r="G901" s="5">
        <v>133.52999879999999</v>
      </c>
      <c r="H901" s="5">
        <v>131.77999879999999</v>
      </c>
      <c r="I901" s="5">
        <v>132.72000120000001</v>
      </c>
      <c r="J901" s="5">
        <v>28055500</v>
      </c>
      <c r="K901" s="5">
        <v>132.2406311</v>
      </c>
    </row>
    <row r="902" spans="1:11" hidden="1">
      <c r="A902" s="4">
        <v>45140</v>
      </c>
      <c r="B902" s="5">
        <f t="shared" si="56"/>
        <v>2</v>
      </c>
      <c r="C902" s="5">
        <f t="shared" si="57"/>
        <v>8</v>
      </c>
      <c r="D902" s="5">
        <f t="shared" si="58"/>
        <v>2023</v>
      </c>
      <c r="E902" s="5" t="str">
        <f t="shared" si="59"/>
        <v>Q3</v>
      </c>
      <c r="F902" s="5">
        <v>130.77999879999999</v>
      </c>
      <c r="G902" s="5">
        <v>132.63000489999999</v>
      </c>
      <c r="H902" s="5">
        <v>130.67999270000001</v>
      </c>
      <c r="I902" s="5">
        <v>131.5500031</v>
      </c>
      <c r="J902" s="5">
        <v>23166800</v>
      </c>
      <c r="K902" s="5">
        <v>131.07484439999999</v>
      </c>
    </row>
    <row r="903" spans="1:11" hidden="1">
      <c r="A903" s="4">
        <v>45141</v>
      </c>
      <c r="B903" s="5">
        <f t="shared" si="56"/>
        <v>3</v>
      </c>
      <c r="C903" s="5">
        <f t="shared" si="57"/>
        <v>8</v>
      </c>
      <c r="D903" s="5">
        <f t="shared" si="58"/>
        <v>2023</v>
      </c>
      <c r="E903" s="5" t="str">
        <f t="shared" si="59"/>
        <v>Q3</v>
      </c>
      <c r="F903" s="5">
        <v>129.4499969</v>
      </c>
      <c r="G903" s="5">
        <v>130.0899963</v>
      </c>
      <c r="H903" s="5">
        <v>127.5599976</v>
      </c>
      <c r="I903" s="5">
        <v>128.38000489999999</v>
      </c>
      <c r="J903" s="5">
        <v>26273300</v>
      </c>
      <c r="K903" s="5">
        <v>127.9162903</v>
      </c>
    </row>
    <row r="904" spans="1:11" hidden="1">
      <c r="A904" s="4">
        <v>45142</v>
      </c>
      <c r="B904" s="5">
        <f t="shared" si="56"/>
        <v>4</v>
      </c>
      <c r="C904" s="5">
        <f t="shared" si="57"/>
        <v>8</v>
      </c>
      <c r="D904" s="5">
        <f t="shared" si="58"/>
        <v>2023</v>
      </c>
      <c r="E904" s="5" t="str">
        <f t="shared" si="59"/>
        <v>Q3</v>
      </c>
      <c r="F904" s="5">
        <v>127.9700012</v>
      </c>
      <c r="G904" s="5">
        <v>129.38999939999999</v>
      </c>
      <c r="H904" s="5">
        <v>127.41999819999999</v>
      </c>
      <c r="I904" s="5">
        <v>128.4499969</v>
      </c>
      <c r="J904" s="5">
        <v>20089500</v>
      </c>
      <c r="K904" s="5">
        <v>127.98603060000001</v>
      </c>
    </row>
    <row r="905" spans="1:11" hidden="1">
      <c r="A905" s="4">
        <v>45145</v>
      </c>
      <c r="B905" s="5">
        <f t="shared" si="56"/>
        <v>7</v>
      </c>
      <c r="C905" s="5">
        <f t="shared" si="57"/>
        <v>8</v>
      </c>
      <c r="D905" s="5">
        <f t="shared" si="58"/>
        <v>2023</v>
      </c>
      <c r="E905" s="5" t="str">
        <f t="shared" si="59"/>
        <v>Q3</v>
      </c>
      <c r="F905" s="5">
        <v>129.27999879999999</v>
      </c>
      <c r="G905" s="5">
        <v>131.5099945</v>
      </c>
      <c r="H905" s="5">
        <v>127.9100037</v>
      </c>
      <c r="I905" s="5">
        <v>128.11000060000001</v>
      </c>
      <c r="J905" s="5">
        <v>26130000</v>
      </c>
      <c r="K905" s="5">
        <v>127.6472626</v>
      </c>
    </row>
    <row r="906" spans="1:11" hidden="1">
      <c r="A906" s="4">
        <v>45146</v>
      </c>
      <c r="B906" s="5">
        <f t="shared" si="56"/>
        <v>8</v>
      </c>
      <c r="C906" s="5">
        <f t="shared" si="57"/>
        <v>8</v>
      </c>
      <c r="D906" s="5">
        <f t="shared" si="58"/>
        <v>2023</v>
      </c>
      <c r="E906" s="5" t="str">
        <f t="shared" si="59"/>
        <v>Q3</v>
      </c>
      <c r="F906" s="5">
        <v>129.1600037</v>
      </c>
      <c r="G906" s="5">
        <v>131.61000060000001</v>
      </c>
      <c r="H906" s="5">
        <v>129.02000430000001</v>
      </c>
      <c r="I906" s="5">
        <v>131.52999879999999</v>
      </c>
      <c r="J906" s="5">
        <v>22746300</v>
      </c>
      <c r="K906" s="5">
        <v>131.0549164</v>
      </c>
    </row>
    <row r="907" spans="1:11" hidden="1">
      <c r="A907" s="4">
        <v>45147</v>
      </c>
      <c r="B907" s="5">
        <f t="shared" si="56"/>
        <v>9</v>
      </c>
      <c r="C907" s="5">
        <f t="shared" si="57"/>
        <v>8</v>
      </c>
      <c r="D907" s="5">
        <f t="shared" si="58"/>
        <v>2023</v>
      </c>
      <c r="E907" s="5" t="str">
        <f t="shared" si="59"/>
        <v>Q3</v>
      </c>
      <c r="F907" s="5">
        <v>130.61999510000001</v>
      </c>
      <c r="G907" s="5">
        <v>131.5099945</v>
      </c>
      <c r="H907" s="5">
        <v>129.53999329999999</v>
      </c>
      <c r="I907" s="5">
        <v>131.3999939</v>
      </c>
      <c r="J907" s="5">
        <v>23535200</v>
      </c>
      <c r="K907" s="5">
        <v>130.9253693</v>
      </c>
    </row>
    <row r="908" spans="1:11" hidden="1">
      <c r="A908" s="4">
        <v>45148</v>
      </c>
      <c r="B908" s="5">
        <f t="shared" si="56"/>
        <v>10</v>
      </c>
      <c r="C908" s="5">
        <f t="shared" si="57"/>
        <v>8</v>
      </c>
      <c r="D908" s="5">
        <f t="shared" si="58"/>
        <v>2023</v>
      </c>
      <c r="E908" s="5" t="str">
        <f t="shared" si="59"/>
        <v>Q3</v>
      </c>
      <c r="F908" s="5">
        <v>131.6600037</v>
      </c>
      <c r="G908" s="5">
        <v>132.03999329999999</v>
      </c>
      <c r="H908" s="5">
        <v>129</v>
      </c>
      <c r="I908" s="5">
        <v>129.6600037</v>
      </c>
      <c r="J908" s="5">
        <v>24912900</v>
      </c>
      <c r="K908" s="5">
        <v>129.19166559999999</v>
      </c>
    </row>
    <row r="909" spans="1:11" hidden="1">
      <c r="A909" s="4">
        <v>45149</v>
      </c>
      <c r="B909" s="5">
        <f t="shared" si="56"/>
        <v>11</v>
      </c>
      <c r="C909" s="5">
        <f t="shared" si="57"/>
        <v>8</v>
      </c>
      <c r="D909" s="5">
        <f t="shared" si="58"/>
        <v>2023</v>
      </c>
      <c r="E909" s="5" t="str">
        <f t="shared" si="59"/>
        <v>Q3</v>
      </c>
      <c r="F909" s="5">
        <v>131.32000729999999</v>
      </c>
      <c r="G909" s="5">
        <v>132.0500031</v>
      </c>
      <c r="H909" s="5">
        <v>129.4499969</v>
      </c>
      <c r="I909" s="5">
        <v>129.6900024</v>
      </c>
      <c r="J909" s="5">
        <v>20857800</v>
      </c>
      <c r="K909" s="5">
        <v>129.22157290000001</v>
      </c>
    </row>
    <row r="910" spans="1:11" hidden="1">
      <c r="A910" s="4">
        <v>45152</v>
      </c>
      <c r="B910" s="5">
        <f t="shared" si="56"/>
        <v>14</v>
      </c>
      <c r="C910" s="5">
        <f t="shared" si="57"/>
        <v>8</v>
      </c>
      <c r="D910" s="5">
        <f t="shared" si="58"/>
        <v>2023</v>
      </c>
      <c r="E910" s="5" t="str">
        <f t="shared" si="59"/>
        <v>Q3</v>
      </c>
      <c r="F910" s="5">
        <v>128.6600037</v>
      </c>
      <c r="G910" s="5">
        <v>129.92999270000001</v>
      </c>
      <c r="H910" s="5">
        <v>128.16999820000001</v>
      </c>
      <c r="I910" s="5">
        <v>129.5599976</v>
      </c>
      <c r="J910" s="5">
        <v>19569200</v>
      </c>
      <c r="K910" s="5">
        <v>129.09202579999999</v>
      </c>
    </row>
    <row r="911" spans="1:11" hidden="1">
      <c r="A911" s="4">
        <v>45153</v>
      </c>
      <c r="B911" s="5">
        <f t="shared" si="56"/>
        <v>15</v>
      </c>
      <c r="C911" s="5">
        <f t="shared" si="57"/>
        <v>8</v>
      </c>
      <c r="D911" s="5">
        <f t="shared" si="58"/>
        <v>2023</v>
      </c>
      <c r="E911" s="5" t="str">
        <f t="shared" si="59"/>
        <v>Q3</v>
      </c>
      <c r="F911" s="5">
        <v>129.38999939999999</v>
      </c>
      <c r="G911" s="5">
        <v>131.36999510000001</v>
      </c>
      <c r="H911" s="5">
        <v>128.96000670000001</v>
      </c>
      <c r="I911" s="5">
        <v>131.33000179999999</v>
      </c>
      <c r="J911" s="5">
        <v>24695600</v>
      </c>
      <c r="K911" s="5">
        <v>130.8556366</v>
      </c>
    </row>
    <row r="912" spans="1:11" hidden="1">
      <c r="A912" s="4">
        <v>45154</v>
      </c>
      <c r="B912" s="5">
        <f t="shared" si="56"/>
        <v>16</v>
      </c>
      <c r="C912" s="5">
        <f t="shared" si="57"/>
        <v>8</v>
      </c>
      <c r="D912" s="5">
        <f t="shared" si="58"/>
        <v>2023</v>
      </c>
      <c r="E912" s="5" t="str">
        <f t="shared" si="59"/>
        <v>Q3</v>
      </c>
      <c r="F912" s="5">
        <v>131.1000061</v>
      </c>
      <c r="G912" s="5">
        <v>131.41999820000001</v>
      </c>
      <c r="H912" s="5">
        <v>129.27999879999999</v>
      </c>
      <c r="I912" s="5">
        <v>129.77999879999999</v>
      </c>
      <c r="J912" s="5">
        <v>19770700</v>
      </c>
      <c r="K912" s="5">
        <v>129.31123349999999</v>
      </c>
    </row>
    <row r="913" spans="1:11" hidden="1">
      <c r="A913" s="4">
        <v>45155</v>
      </c>
      <c r="B913" s="5">
        <f t="shared" si="56"/>
        <v>17</v>
      </c>
      <c r="C913" s="5">
        <f t="shared" si="57"/>
        <v>8</v>
      </c>
      <c r="D913" s="5">
        <f t="shared" si="58"/>
        <v>2023</v>
      </c>
      <c r="E913" s="5" t="str">
        <f t="shared" si="59"/>
        <v>Q3</v>
      </c>
      <c r="F913" s="5">
        <v>128.6999969</v>
      </c>
      <c r="G913" s="5">
        <v>130.27999879999999</v>
      </c>
      <c r="H913" s="5">
        <v>127.8700027</v>
      </c>
      <c r="I913" s="5">
        <v>128.6999969</v>
      </c>
      <c r="J913" s="5">
        <v>25216100</v>
      </c>
      <c r="K913" s="5">
        <v>128.23513790000001</v>
      </c>
    </row>
    <row r="914" spans="1:11" hidden="1">
      <c r="A914" s="4">
        <v>45156</v>
      </c>
      <c r="B914" s="5">
        <f t="shared" si="56"/>
        <v>18</v>
      </c>
      <c r="C914" s="5">
        <f t="shared" si="57"/>
        <v>8</v>
      </c>
      <c r="D914" s="5">
        <f t="shared" si="58"/>
        <v>2023</v>
      </c>
      <c r="E914" s="5" t="str">
        <f t="shared" si="59"/>
        <v>Q3</v>
      </c>
      <c r="F914" s="5">
        <v>129.8000031</v>
      </c>
      <c r="G914" s="5">
        <v>131.9900055</v>
      </c>
      <c r="H914" s="5">
        <v>129.28999329999999</v>
      </c>
      <c r="I914" s="5">
        <v>129.91999820000001</v>
      </c>
      <c r="J914" s="5">
        <v>33446300</v>
      </c>
      <c r="K914" s="5">
        <v>129.4507294</v>
      </c>
    </row>
    <row r="915" spans="1:11" hidden="1">
      <c r="A915" s="4">
        <v>45159</v>
      </c>
      <c r="B915" s="5">
        <f t="shared" si="56"/>
        <v>21</v>
      </c>
      <c r="C915" s="5">
        <f t="shared" si="57"/>
        <v>8</v>
      </c>
      <c r="D915" s="5">
        <f t="shared" si="58"/>
        <v>2023</v>
      </c>
      <c r="E915" s="5" t="str">
        <f t="shared" si="59"/>
        <v>Q3</v>
      </c>
      <c r="F915" s="5">
        <v>128.5099945</v>
      </c>
      <c r="G915" s="5">
        <v>129.25</v>
      </c>
      <c r="H915" s="5">
        <v>126.3799973</v>
      </c>
      <c r="I915" s="5">
        <v>127.4599991</v>
      </c>
      <c r="J915" s="5">
        <v>30491300</v>
      </c>
      <c r="K915" s="5">
        <v>126.99961089999999</v>
      </c>
    </row>
    <row r="916" spans="1:11" hidden="1">
      <c r="A916" s="4">
        <v>45160</v>
      </c>
      <c r="B916" s="5">
        <f t="shared" si="56"/>
        <v>22</v>
      </c>
      <c r="C916" s="5">
        <f t="shared" si="57"/>
        <v>8</v>
      </c>
      <c r="D916" s="5">
        <f t="shared" si="58"/>
        <v>2023</v>
      </c>
      <c r="E916" s="5" t="str">
        <f t="shared" si="59"/>
        <v>Q3</v>
      </c>
      <c r="F916" s="5">
        <v>127.1800003</v>
      </c>
      <c r="G916" s="5">
        <v>128.72999569999999</v>
      </c>
      <c r="H916" s="5">
        <v>126.5599976</v>
      </c>
      <c r="I916" s="5">
        <v>128.36999510000001</v>
      </c>
      <c r="J916" s="5">
        <v>25248700</v>
      </c>
      <c r="K916" s="5">
        <v>127.9063187</v>
      </c>
    </row>
    <row r="917" spans="1:11" hidden="1">
      <c r="A917" s="4">
        <v>45161</v>
      </c>
      <c r="B917" s="5">
        <f t="shared" si="56"/>
        <v>23</v>
      </c>
      <c r="C917" s="5">
        <f t="shared" si="57"/>
        <v>8</v>
      </c>
      <c r="D917" s="5">
        <f t="shared" si="58"/>
        <v>2023</v>
      </c>
      <c r="E917" s="5" t="str">
        <f t="shared" si="59"/>
        <v>Q3</v>
      </c>
      <c r="F917" s="5">
        <v>128.5099945</v>
      </c>
      <c r="G917" s="5">
        <v>130.27999879999999</v>
      </c>
      <c r="H917" s="5">
        <v>128.32000729999999</v>
      </c>
      <c r="I917" s="5">
        <v>129.08000179999999</v>
      </c>
      <c r="J917" s="5">
        <v>22067500</v>
      </c>
      <c r="K917" s="5">
        <v>128.61376949999999</v>
      </c>
    </row>
    <row r="918" spans="1:11" hidden="1">
      <c r="A918" s="4">
        <v>45162</v>
      </c>
      <c r="B918" s="5">
        <f t="shared" si="56"/>
        <v>24</v>
      </c>
      <c r="C918" s="5">
        <f t="shared" si="57"/>
        <v>8</v>
      </c>
      <c r="D918" s="5">
        <f t="shared" si="58"/>
        <v>2023</v>
      </c>
      <c r="E918" s="5" t="str">
        <f t="shared" si="59"/>
        <v>Q3</v>
      </c>
      <c r="F918" s="5">
        <v>130.17999270000001</v>
      </c>
      <c r="G918" s="5">
        <v>133.4100037</v>
      </c>
      <c r="H918" s="5">
        <v>129.86999510000001</v>
      </c>
      <c r="I918" s="5">
        <v>132.36999510000001</v>
      </c>
      <c r="J918" s="5">
        <v>27819700</v>
      </c>
      <c r="K918" s="5">
        <v>131.89187620000001</v>
      </c>
    </row>
    <row r="919" spans="1:11" hidden="1">
      <c r="A919" s="4">
        <v>45163</v>
      </c>
      <c r="B919" s="5">
        <f t="shared" si="56"/>
        <v>25</v>
      </c>
      <c r="C919" s="5">
        <f t="shared" si="57"/>
        <v>8</v>
      </c>
      <c r="D919" s="5">
        <f t="shared" si="58"/>
        <v>2023</v>
      </c>
      <c r="E919" s="5" t="str">
        <f t="shared" si="59"/>
        <v>Q3</v>
      </c>
      <c r="F919" s="5">
        <v>133.9499969</v>
      </c>
      <c r="G919" s="5">
        <v>134.25</v>
      </c>
      <c r="H919" s="5">
        <v>129.57000729999999</v>
      </c>
      <c r="I919" s="5">
        <v>129.77999879999999</v>
      </c>
      <c r="J919" s="5">
        <v>28500700</v>
      </c>
      <c r="K919" s="5">
        <v>129.31123349999999</v>
      </c>
    </row>
    <row r="920" spans="1:11" hidden="1">
      <c r="A920" s="4">
        <v>45166</v>
      </c>
      <c r="B920" s="5">
        <f t="shared" si="56"/>
        <v>28</v>
      </c>
      <c r="C920" s="5">
        <f t="shared" si="57"/>
        <v>8</v>
      </c>
      <c r="D920" s="5">
        <f t="shared" si="58"/>
        <v>2023</v>
      </c>
      <c r="E920" s="5" t="str">
        <f t="shared" si="59"/>
        <v>Q3</v>
      </c>
      <c r="F920" s="5">
        <v>129.53999329999999</v>
      </c>
      <c r="G920" s="5">
        <v>130.7599945</v>
      </c>
      <c r="H920" s="5">
        <v>127.25</v>
      </c>
      <c r="I920" s="5">
        <v>129.88000489999999</v>
      </c>
      <c r="J920" s="5">
        <v>26762900</v>
      </c>
      <c r="K920" s="5">
        <v>129.41087340000001</v>
      </c>
    </row>
    <row r="921" spans="1:11" hidden="1">
      <c r="A921" s="4">
        <v>45167</v>
      </c>
      <c r="B921" s="5">
        <f t="shared" si="56"/>
        <v>29</v>
      </c>
      <c r="C921" s="5">
        <f t="shared" si="57"/>
        <v>8</v>
      </c>
      <c r="D921" s="5">
        <f t="shared" si="58"/>
        <v>2023</v>
      </c>
      <c r="E921" s="5" t="str">
        <f t="shared" si="59"/>
        <v>Q3</v>
      </c>
      <c r="F921" s="5">
        <v>131.3099976</v>
      </c>
      <c r="G921" s="5">
        <v>132.53999329999999</v>
      </c>
      <c r="H921" s="5">
        <v>130.13999939999999</v>
      </c>
      <c r="I921" s="5">
        <v>131.0099945</v>
      </c>
      <c r="J921" s="5">
        <v>20543300</v>
      </c>
      <c r="K921" s="5">
        <v>130.5367889</v>
      </c>
    </row>
    <row r="922" spans="1:11" hidden="1">
      <c r="A922" s="4">
        <v>45168</v>
      </c>
      <c r="B922" s="5">
        <f t="shared" si="56"/>
        <v>30</v>
      </c>
      <c r="C922" s="5">
        <f t="shared" si="57"/>
        <v>8</v>
      </c>
      <c r="D922" s="5">
        <f t="shared" si="58"/>
        <v>2023</v>
      </c>
      <c r="E922" s="5" t="str">
        <f t="shared" si="59"/>
        <v>Q3</v>
      </c>
      <c r="F922" s="5">
        <v>132.2400055</v>
      </c>
      <c r="G922" s="5">
        <v>136.57000729999999</v>
      </c>
      <c r="H922" s="5">
        <v>132.2400055</v>
      </c>
      <c r="I922" s="5">
        <v>134.57000729999999</v>
      </c>
      <c r="J922" s="5">
        <v>43075600</v>
      </c>
      <c r="K922" s="5">
        <v>134.08393860000001</v>
      </c>
    </row>
    <row r="923" spans="1:11" hidden="1">
      <c r="A923" s="4">
        <v>45169</v>
      </c>
      <c r="B923" s="5">
        <f t="shared" si="56"/>
        <v>31</v>
      </c>
      <c r="C923" s="5">
        <f t="shared" si="57"/>
        <v>8</v>
      </c>
      <c r="D923" s="5">
        <f t="shared" si="58"/>
        <v>2023</v>
      </c>
      <c r="E923" s="5" t="str">
        <f t="shared" si="59"/>
        <v>Q3</v>
      </c>
      <c r="F923" s="5">
        <v>134.77999879999999</v>
      </c>
      <c r="G923" s="5">
        <v>136.27999879999999</v>
      </c>
      <c r="H923" s="5">
        <v>134.07000729999999</v>
      </c>
      <c r="I923" s="5">
        <v>135.88000489999999</v>
      </c>
      <c r="J923" s="5">
        <v>28315800</v>
      </c>
      <c r="K923" s="5">
        <v>135.38922120000001</v>
      </c>
    </row>
    <row r="924" spans="1:11" hidden="1">
      <c r="A924" s="4">
        <v>45170</v>
      </c>
      <c r="B924" s="5">
        <f t="shared" si="56"/>
        <v>1</v>
      </c>
      <c r="C924" s="5">
        <f t="shared" si="57"/>
        <v>9</v>
      </c>
      <c r="D924" s="5">
        <f t="shared" si="58"/>
        <v>2023</v>
      </c>
      <c r="E924" s="5" t="str">
        <f t="shared" si="59"/>
        <v>Q3</v>
      </c>
      <c r="F924" s="5">
        <v>136.0099945</v>
      </c>
      <c r="G924" s="5">
        <v>138</v>
      </c>
      <c r="H924" s="5">
        <v>135.78999329999999</v>
      </c>
      <c r="I924" s="5">
        <v>136.16999820000001</v>
      </c>
      <c r="J924" s="5">
        <v>30053800</v>
      </c>
      <c r="K924" s="5">
        <v>135.6781464</v>
      </c>
    </row>
    <row r="925" spans="1:11" hidden="1">
      <c r="A925" s="4">
        <v>45174</v>
      </c>
      <c r="B925" s="5">
        <f t="shared" si="56"/>
        <v>5</v>
      </c>
      <c r="C925" s="5">
        <f t="shared" si="57"/>
        <v>9</v>
      </c>
      <c r="D925" s="5">
        <f t="shared" si="58"/>
        <v>2023</v>
      </c>
      <c r="E925" s="5" t="str">
        <f t="shared" si="59"/>
        <v>Q3</v>
      </c>
      <c r="F925" s="5">
        <v>137.46000670000001</v>
      </c>
      <c r="G925" s="5">
        <v>137.46000670000001</v>
      </c>
      <c r="H925" s="5">
        <v>134.8500061</v>
      </c>
      <c r="I925" s="5">
        <v>135.6600037</v>
      </c>
      <c r="J925" s="5">
        <v>21524600</v>
      </c>
      <c r="K925" s="5">
        <v>135.16999820000001</v>
      </c>
    </row>
    <row r="926" spans="1:11" hidden="1">
      <c r="A926" s="4">
        <v>45175</v>
      </c>
      <c r="B926" s="5">
        <f t="shared" si="56"/>
        <v>6</v>
      </c>
      <c r="C926" s="5">
        <f t="shared" si="57"/>
        <v>9</v>
      </c>
      <c r="D926" s="5">
        <f t="shared" si="58"/>
        <v>2023</v>
      </c>
      <c r="E926" s="5" t="str">
        <f t="shared" si="59"/>
        <v>Q3</v>
      </c>
      <c r="F926" s="5">
        <v>135.4400024</v>
      </c>
      <c r="G926" s="5">
        <v>136.41999820000001</v>
      </c>
      <c r="H926" s="5">
        <v>134.58000179999999</v>
      </c>
      <c r="I926" s="5">
        <v>135.77000430000001</v>
      </c>
      <c r="J926" s="5">
        <v>19403100</v>
      </c>
      <c r="K926" s="5">
        <v>135.27960210000001</v>
      </c>
    </row>
    <row r="927" spans="1:11" hidden="1">
      <c r="A927" s="4">
        <v>45176</v>
      </c>
      <c r="B927" s="5">
        <f t="shared" si="56"/>
        <v>7</v>
      </c>
      <c r="C927" s="5">
        <f t="shared" si="57"/>
        <v>9</v>
      </c>
      <c r="D927" s="5">
        <f t="shared" si="58"/>
        <v>2023</v>
      </c>
      <c r="E927" s="5" t="str">
        <f t="shared" si="59"/>
        <v>Q3</v>
      </c>
      <c r="F927" s="5">
        <v>136.02000430000001</v>
      </c>
      <c r="G927" s="5">
        <v>136.52999879999999</v>
      </c>
      <c r="H927" s="5">
        <v>133.66999820000001</v>
      </c>
      <c r="I927" s="5">
        <v>134.46000670000001</v>
      </c>
      <c r="J927" s="5">
        <v>18684500</v>
      </c>
      <c r="K927" s="5">
        <v>133.97433469999999</v>
      </c>
    </row>
    <row r="928" spans="1:11" hidden="1">
      <c r="A928" s="4">
        <v>45177</v>
      </c>
      <c r="B928" s="5">
        <f t="shared" si="56"/>
        <v>8</v>
      </c>
      <c r="C928" s="5">
        <f t="shared" si="57"/>
        <v>9</v>
      </c>
      <c r="D928" s="5">
        <f t="shared" si="58"/>
        <v>2023</v>
      </c>
      <c r="E928" s="5" t="str">
        <f t="shared" si="59"/>
        <v>Q3</v>
      </c>
      <c r="F928" s="5">
        <v>133.5899963</v>
      </c>
      <c r="G928" s="5">
        <v>135.58000179999999</v>
      </c>
      <c r="H928" s="5">
        <v>132.9499969</v>
      </c>
      <c r="I928" s="5">
        <v>135.2599945</v>
      </c>
      <c r="J928" s="5">
        <v>18844300</v>
      </c>
      <c r="K928" s="5">
        <v>134.77142330000001</v>
      </c>
    </row>
    <row r="929" spans="1:11" hidden="1">
      <c r="A929" s="4">
        <v>45180</v>
      </c>
      <c r="B929" s="5">
        <f t="shared" si="56"/>
        <v>11</v>
      </c>
      <c r="C929" s="5">
        <f t="shared" si="57"/>
        <v>9</v>
      </c>
      <c r="D929" s="5">
        <f t="shared" si="58"/>
        <v>2023</v>
      </c>
      <c r="E929" s="5" t="str">
        <f t="shared" si="59"/>
        <v>Q3</v>
      </c>
      <c r="F929" s="5">
        <v>134.9100037</v>
      </c>
      <c r="G929" s="5">
        <v>136.6600037</v>
      </c>
      <c r="H929" s="5">
        <v>134.8500061</v>
      </c>
      <c r="I929" s="5">
        <v>136.38000489999999</v>
      </c>
      <c r="J929" s="5">
        <v>23558300</v>
      </c>
      <c r="K929" s="5">
        <v>135.8873901</v>
      </c>
    </row>
    <row r="930" spans="1:11" hidden="1">
      <c r="A930" s="4">
        <v>45181</v>
      </c>
      <c r="B930" s="5">
        <f t="shared" si="56"/>
        <v>12</v>
      </c>
      <c r="C930" s="5">
        <f t="shared" si="57"/>
        <v>9</v>
      </c>
      <c r="D930" s="5">
        <f t="shared" si="58"/>
        <v>2023</v>
      </c>
      <c r="E930" s="5" t="str">
        <f t="shared" si="59"/>
        <v>Q3</v>
      </c>
      <c r="F930" s="5">
        <v>136.53999329999999</v>
      </c>
      <c r="G930" s="5">
        <v>137.47999569999999</v>
      </c>
      <c r="H930" s="5">
        <v>135.78999329999999</v>
      </c>
      <c r="I930" s="5">
        <v>136.91999820000001</v>
      </c>
      <c r="J930" s="5">
        <v>20763400</v>
      </c>
      <c r="K930" s="5">
        <v>136.42544559999999</v>
      </c>
    </row>
    <row r="931" spans="1:11" hidden="1">
      <c r="A931" s="4">
        <v>45182</v>
      </c>
      <c r="B931" s="5">
        <f t="shared" si="56"/>
        <v>13</v>
      </c>
      <c r="C931" s="5">
        <f t="shared" si="57"/>
        <v>9</v>
      </c>
      <c r="D931" s="5">
        <f t="shared" si="58"/>
        <v>2023</v>
      </c>
      <c r="E931" s="5" t="str">
        <f t="shared" si="59"/>
        <v>Q3</v>
      </c>
      <c r="F931" s="5">
        <v>136.2599945</v>
      </c>
      <c r="G931" s="5">
        <v>136.86999510000001</v>
      </c>
      <c r="H931" s="5">
        <v>135.1900024</v>
      </c>
      <c r="I931" s="5">
        <v>135.3399963</v>
      </c>
      <c r="J931" s="5">
        <v>18405500</v>
      </c>
      <c r="K931" s="5">
        <v>134.85113530000001</v>
      </c>
    </row>
    <row r="932" spans="1:11" hidden="1">
      <c r="A932" s="4">
        <v>45183</v>
      </c>
      <c r="B932" s="5">
        <f t="shared" si="56"/>
        <v>14</v>
      </c>
      <c r="C932" s="5">
        <f t="shared" si="57"/>
        <v>9</v>
      </c>
      <c r="D932" s="5">
        <f t="shared" si="58"/>
        <v>2023</v>
      </c>
      <c r="E932" s="5" t="str">
        <f t="shared" si="59"/>
        <v>Q3</v>
      </c>
      <c r="F932" s="5">
        <v>135.0899963</v>
      </c>
      <c r="G932" s="5">
        <v>136.8999939</v>
      </c>
      <c r="H932" s="5">
        <v>134.1499939</v>
      </c>
      <c r="I932" s="5">
        <v>136.71000670000001</v>
      </c>
      <c r="J932" s="5">
        <v>20749500</v>
      </c>
      <c r="K932" s="5">
        <v>136.216217</v>
      </c>
    </row>
    <row r="933" spans="1:11" hidden="1">
      <c r="A933" s="4">
        <v>45184</v>
      </c>
      <c r="B933" s="5">
        <f t="shared" si="56"/>
        <v>15</v>
      </c>
      <c r="C933" s="5">
        <f t="shared" si="57"/>
        <v>9</v>
      </c>
      <c r="D933" s="5">
        <f t="shared" si="58"/>
        <v>2023</v>
      </c>
      <c r="E933" s="5" t="str">
        <f t="shared" si="59"/>
        <v>Q3</v>
      </c>
      <c r="F933" s="5">
        <v>137.6000061</v>
      </c>
      <c r="G933" s="5">
        <v>138.6999969</v>
      </c>
      <c r="H933" s="5">
        <v>136.2400055</v>
      </c>
      <c r="I933" s="5">
        <v>138.1000061</v>
      </c>
      <c r="J933" s="5">
        <v>24751000</v>
      </c>
      <c r="K933" s="5">
        <v>137.601181</v>
      </c>
    </row>
    <row r="934" spans="1:11" hidden="1">
      <c r="A934" s="4">
        <v>45187</v>
      </c>
      <c r="B934" s="5">
        <f t="shared" si="56"/>
        <v>18</v>
      </c>
      <c r="C934" s="5">
        <f t="shared" si="57"/>
        <v>9</v>
      </c>
      <c r="D934" s="5">
        <f t="shared" si="58"/>
        <v>2023</v>
      </c>
      <c r="E934" s="5" t="str">
        <f t="shared" si="59"/>
        <v>Q3</v>
      </c>
      <c r="F934" s="5">
        <v>137.97999569999999</v>
      </c>
      <c r="G934" s="5">
        <v>138.52000430000001</v>
      </c>
      <c r="H934" s="5">
        <v>136.47999569999999</v>
      </c>
      <c r="I934" s="5">
        <v>137.3999939</v>
      </c>
      <c r="J934" s="5">
        <v>38908400</v>
      </c>
      <c r="K934" s="5">
        <v>136.903717</v>
      </c>
    </row>
    <row r="935" spans="1:11" hidden="1">
      <c r="A935" s="4">
        <v>45188</v>
      </c>
      <c r="B935" s="5">
        <f t="shared" si="56"/>
        <v>19</v>
      </c>
      <c r="C935" s="5">
        <f t="shared" si="57"/>
        <v>9</v>
      </c>
      <c r="D935" s="5">
        <f t="shared" si="58"/>
        <v>2023</v>
      </c>
      <c r="E935" s="5" t="str">
        <f t="shared" si="59"/>
        <v>Q3</v>
      </c>
      <c r="F935" s="5">
        <v>136.61000060000001</v>
      </c>
      <c r="G935" s="5">
        <v>139.1600037</v>
      </c>
      <c r="H935" s="5">
        <v>136.61000060000001</v>
      </c>
      <c r="I935" s="5">
        <v>138.21000670000001</v>
      </c>
      <c r="J935" s="5">
        <v>21861300</v>
      </c>
      <c r="K935" s="5">
        <v>137.71080019999999</v>
      </c>
    </row>
    <row r="936" spans="1:11" hidden="1">
      <c r="A936" s="4">
        <v>45189</v>
      </c>
      <c r="B936" s="5">
        <f t="shared" si="56"/>
        <v>20</v>
      </c>
      <c r="C936" s="5">
        <f t="shared" si="57"/>
        <v>9</v>
      </c>
      <c r="D936" s="5">
        <f t="shared" si="58"/>
        <v>2023</v>
      </c>
      <c r="E936" s="5" t="str">
        <f t="shared" si="59"/>
        <v>Q3</v>
      </c>
      <c r="F936" s="5">
        <v>137.41999820000001</v>
      </c>
      <c r="G936" s="5">
        <v>138.4100037</v>
      </c>
      <c r="H936" s="5">
        <v>136.61999510000001</v>
      </c>
      <c r="I936" s="5">
        <v>138.03999329999999</v>
      </c>
      <c r="J936" s="5">
        <v>20353700</v>
      </c>
      <c r="K936" s="5">
        <v>137.54139710000001</v>
      </c>
    </row>
    <row r="937" spans="1:11" hidden="1">
      <c r="A937" s="4">
        <v>45190</v>
      </c>
      <c r="B937" s="5">
        <f t="shared" si="56"/>
        <v>21</v>
      </c>
      <c r="C937" s="5">
        <f t="shared" si="57"/>
        <v>9</v>
      </c>
      <c r="D937" s="5">
        <f t="shared" si="58"/>
        <v>2023</v>
      </c>
      <c r="E937" s="5" t="str">
        <f t="shared" si="59"/>
        <v>Q3</v>
      </c>
      <c r="F937" s="5">
        <v>138.08000179999999</v>
      </c>
      <c r="G937" s="5">
        <v>138.08000179999999</v>
      </c>
      <c r="H937" s="5">
        <v>133.61999510000001</v>
      </c>
      <c r="I937" s="5">
        <v>133.7400055</v>
      </c>
      <c r="J937" s="5">
        <v>29927500</v>
      </c>
      <c r="K937" s="5">
        <v>133.25692749999999</v>
      </c>
    </row>
    <row r="938" spans="1:11" hidden="1">
      <c r="A938" s="4">
        <v>45191</v>
      </c>
      <c r="B938" s="5">
        <f t="shared" si="56"/>
        <v>22</v>
      </c>
      <c r="C938" s="5">
        <f t="shared" si="57"/>
        <v>9</v>
      </c>
      <c r="D938" s="5">
        <f t="shared" si="58"/>
        <v>2023</v>
      </c>
      <c r="E938" s="5" t="str">
        <f t="shared" si="59"/>
        <v>Q3</v>
      </c>
      <c r="F938" s="5">
        <v>131.4400024</v>
      </c>
      <c r="G938" s="5">
        <v>132.22999569999999</v>
      </c>
      <c r="H938" s="5">
        <v>130.07000729999999</v>
      </c>
      <c r="I938" s="5">
        <v>130.4400024</v>
      </c>
      <c r="J938" s="5">
        <v>31488700</v>
      </c>
      <c r="K938" s="5">
        <v>129.9688568</v>
      </c>
    </row>
    <row r="939" spans="1:11" hidden="1">
      <c r="A939" s="4">
        <v>45194</v>
      </c>
      <c r="B939" s="5">
        <f t="shared" si="56"/>
        <v>25</v>
      </c>
      <c r="C939" s="5">
        <f t="shared" si="57"/>
        <v>9</v>
      </c>
      <c r="D939" s="5">
        <f t="shared" si="58"/>
        <v>2023</v>
      </c>
      <c r="E939" s="5" t="str">
        <f t="shared" si="59"/>
        <v>Q3</v>
      </c>
      <c r="F939" s="5">
        <v>130.7599945</v>
      </c>
      <c r="G939" s="5">
        <v>132.02999879999999</v>
      </c>
      <c r="H939" s="5">
        <v>129.6000061</v>
      </c>
      <c r="I939" s="5">
        <v>130.25</v>
      </c>
      <c r="J939" s="5">
        <v>26397300</v>
      </c>
      <c r="K939" s="5">
        <v>129.77954099999999</v>
      </c>
    </row>
    <row r="940" spans="1:11" hidden="1">
      <c r="A940" s="4">
        <v>45195</v>
      </c>
      <c r="B940" s="5">
        <f t="shared" si="56"/>
        <v>26</v>
      </c>
      <c r="C940" s="5">
        <f t="shared" si="57"/>
        <v>9</v>
      </c>
      <c r="D940" s="5">
        <f t="shared" si="58"/>
        <v>2023</v>
      </c>
      <c r="E940" s="5" t="str">
        <f t="shared" si="59"/>
        <v>Q3</v>
      </c>
      <c r="F940" s="5">
        <v>129.83000179999999</v>
      </c>
      <c r="G940" s="5">
        <v>131.16999820000001</v>
      </c>
      <c r="H940" s="5">
        <v>128.96000670000001</v>
      </c>
      <c r="I940" s="5">
        <v>131.11000060000001</v>
      </c>
      <c r="J940" s="5">
        <v>20094600</v>
      </c>
      <c r="K940" s="5">
        <v>130.6364288</v>
      </c>
    </row>
    <row r="941" spans="1:11" hidden="1">
      <c r="A941" s="4">
        <v>45196</v>
      </c>
      <c r="B941" s="5">
        <f t="shared" si="56"/>
        <v>27</v>
      </c>
      <c r="C941" s="5">
        <f t="shared" si="57"/>
        <v>9</v>
      </c>
      <c r="D941" s="5">
        <f t="shared" si="58"/>
        <v>2023</v>
      </c>
      <c r="E941" s="5" t="str">
        <f t="shared" si="59"/>
        <v>Q3</v>
      </c>
      <c r="F941" s="5">
        <v>129.77000430000001</v>
      </c>
      <c r="G941" s="5">
        <v>130.36000060000001</v>
      </c>
      <c r="H941" s="5">
        <v>127.2200012</v>
      </c>
      <c r="I941" s="5">
        <v>128.57000729999999</v>
      </c>
      <c r="J941" s="5">
        <v>25718700</v>
      </c>
      <c r="K941" s="5">
        <v>128.1056213</v>
      </c>
    </row>
    <row r="942" spans="1:11" hidden="1">
      <c r="A942" s="4">
        <v>45197</v>
      </c>
      <c r="B942" s="5">
        <f t="shared" si="56"/>
        <v>28</v>
      </c>
      <c r="C942" s="5">
        <f t="shared" si="57"/>
        <v>9</v>
      </c>
      <c r="D942" s="5">
        <f t="shared" si="58"/>
        <v>2023</v>
      </c>
      <c r="E942" s="5" t="str">
        <f t="shared" si="59"/>
        <v>Q3</v>
      </c>
      <c r="F942" s="5">
        <v>128.57000729999999</v>
      </c>
      <c r="G942" s="5">
        <v>130.8999939</v>
      </c>
      <c r="H942" s="5">
        <v>128.57000729999999</v>
      </c>
      <c r="I942" s="5">
        <v>130.53999329999999</v>
      </c>
      <c r="J942" s="5">
        <v>22746500</v>
      </c>
      <c r="K942" s="5">
        <v>130.0684814</v>
      </c>
    </row>
    <row r="943" spans="1:11" hidden="1">
      <c r="A943" s="4">
        <v>45198</v>
      </c>
      <c r="B943" s="5">
        <f t="shared" si="56"/>
        <v>29</v>
      </c>
      <c r="C943" s="5">
        <f t="shared" si="57"/>
        <v>9</v>
      </c>
      <c r="D943" s="5">
        <f t="shared" si="58"/>
        <v>2023</v>
      </c>
      <c r="E943" s="5" t="str">
        <f t="shared" si="59"/>
        <v>Q3</v>
      </c>
      <c r="F943" s="5">
        <v>129.8399963</v>
      </c>
      <c r="G943" s="5">
        <v>133.3000031</v>
      </c>
      <c r="H943" s="5">
        <v>129.78999329999999</v>
      </c>
      <c r="I943" s="5">
        <v>132.3099976</v>
      </c>
      <c r="J943" s="5">
        <v>22513100</v>
      </c>
      <c r="K943" s="5">
        <v>131.8320923</v>
      </c>
    </row>
    <row r="944" spans="1:11" hidden="1">
      <c r="A944" s="4">
        <v>45201</v>
      </c>
      <c r="B944" s="5">
        <f t="shared" si="56"/>
        <v>2</v>
      </c>
      <c r="C944" s="5">
        <f t="shared" si="57"/>
        <v>10</v>
      </c>
      <c r="D944" s="5">
        <f t="shared" si="58"/>
        <v>2023</v>
      </c>
      <c r="E944" s="5" t="str">
        <f t="shared" si="59"/>
        <v>Q4</v>
      </c>
      <c r="F944" s="5">
        <v>133.27999879999999</v>
      </c>
      <c r="G944" s="5">
        <v>134.0500031</v>
      </c>
      <c r="H944" s="5">
        <v>130.36000060000001</v>
      </c>
      <c r="I944" s="5">
        <v>130.86000060000001</v>
      </c>
      <c r="J944" s="5">
        <v>30848100</v>
      </c>
      <c r="K944" s="5">
        <v>130.38732909999999</v>
      </c>
    </row>
    <row r="945" spans="1:11" hidden="1">
      <c r="A945" s="4">
        <v>45202</v>
      </c>
      <c r="B945" s="5">
        <f t="shared" si="56"/>
        <v>3</v>
      </c>
      <c r="C945" s="5">
        <f t="shared" si="57"/>
        <v>10</v>
      </c>
      <c r="D945" s="5">
        <f t="shared" si="58"/>
        <v>2023</v>
      </c>
      <c r="E945" s="5" t="str">
        <f t="shared" si="59"/>
        <v>Q4</v>
      </c>
      <c r="F945" s="5">
        <v>131.21000670000001</v>
      </c>
      <c r="G945" s="5">
        <v>134.41999820000001</v>
      </c>
      <c r="H945" s="5">
        <v>131.16999820000001</v>
      </c>
      <c r="I945" s="5">
        <v>134.16999820000001</v>
      </c>
      <c r="J945" s="5">
        <v>22288000</v>
      </c>
      <c r="K945" s="5">
        <v>133.68537900000001</v>
      </c>
    </row>
    <row r="946" spans="1:11" hidden="1">
      <c r="A946" s="4">
        <v>45203</v>
      </c>
      <c r="B946" s="5">
        <f t="shared" si="56"/>
        <v>4</v>
      </c>
      <c r="C946" s="5">
        <f t="shared" si="57"/>
        <v>10</v>
      </c>
      <c r="D946" s="5">
        <f t="shared" si="58"/>
        <v>2023</v>
      </c>
      <c r="E946" s="5" t="str">
        <f t="shared" si="59"/>
        <v>Q4</v>
      </c>
      <c r="F946" s="5">
        <v>133.9400024</v>
      </c>
      <c r="G946" s="5">
        <v>134.2599945</v>
      </c>
      <c r="H946" s="5">
        <v>131.8399963</v>
      </c>
      <c r="I946" s="5">
        <v>132.42999270000001</v>
      </c>
      <c r="J946" s="5">
        <v>22989400</v>
      </c>
      <c r="K946" s="5">
        <v>131.95166019999999</v>
      </c>
    </row>
    <row r="947" spans="1:11" hidden="1">
      <c r="A947" s="4">
        <v>45204</v>
      </c>
      <c r="B947" s="5">
        <f t="shared" si="56"/>
        <v>5</v>
      </c>
      <c r="C947" s="5">
        <f t="shared" si="57"/>
        <v>10</v>
      </c>
      <c r="D947" s="5">
        <f t="shared" si="58"/>
        <v>2023</v>
      </c>
      <c r="E947" s="5" t="str">
        <f t="shared" si="59"/>
        <v>Q4</v>
      </c>
      <c r="F947" s="5">
        <v>132.78999329999999</v>
      </c>
      <c r="G947" s="5">
        <v>135.57000729999999</v>
      </c>
      <c r="H947" s="5">
        <v>132.52999879999999</v>
      </c>
      <c r="I947" s="5">
        <v>135.2400055</v>
      </c>
      <c r="J947" s="5">
        <v>26752300</v>
      </c>
      <c r="K947" s="5">
        <v>134.75152589999999</v>
      </c>
    </row>
    <row r="948" spans="1:11" hidden="1">
      <c r="A948" s="4">
        <v>45205</v>
      </c>
      <c r="B948" s="5">
        <f t="shared" si="56"/>
        <v>6</v>
      </c>
      <c r="C948" s="5">
        <f t="shared" si="57"/>
        <v>10</v>
      </c>
      <c r="D948" s="5">
        <f t="shared" si="58"/>
        <v>2023</v>
      </c>
      <c r="E948" s="5" t="str">
        <f t="shared" si="59"/>
        <v>Q4</v>
      </c>
      <c r="F948" s="5">
        <v>135.07000729999999</v>
      </c>
      <c r="G948" s="5">
        <v>135.4900055</v>
      </c>
      <c r="H948" s="5">
        <v>133.4499969</v>
      </c>
      <c r="I948" s="5">
        <v>135.07000729999999</v>
      </c>
      <c r="J948" s="5">
        <v>19832600</v>
      </c>
      <c r="K948" s="5">
        <v>134.58213810000001</v>
      </c>
    </row>
    <row r="949" spans="1:11" hidden="1">
      <c r="A949" s="4">
        <v>45208</v>
      </c>
      <c r="B949" s="5">
        <f t="shared" si="56"/>
        <v>9</v>
      </c>
      <c r="C949" s="5">
        <f t="shared" si="57"/>
        <v>10</v>
      </c>
      <c r="D949" s="5">
        <f t="shared" si="58"/>
        <v>2023</v>
      </c>
      <c r="E949" s="5" t="str">
        <f t="shared" si="59"/>
        <v>Q4</v>
      </c>
      <c r="F949" s="5">
        <v>134.0099945</v>
      </c>
      <c r="G949" s="5">
        <v>138.1600037</v>
      </c>
      <c r="H949" s="5">
        <v>134.0099945</v>
      </c>
      <c r="I949" s="5">
        <v>137.58000179999999</v>
      </c>
      <c r="J949" s="5">
        <v>27583200</v>
      </c>
      <c r="K949" s="5">
        <v>137.0830536</v>
      </c>
    </row>
    <row r="950" spans="1:11" hidden="1">
      <c r="A950" s="4">
        <v>45209</v>
      </c>
      <c r="B950" s="5">
        <f t="shared" si="56"/>
        <v>10</v>
      </c>
      <c r="C950" s="5">
        <f t="shared" si="57"/>
        <v>10</v>
      </c>
      <c r="D950" s="5">
        <f t="shared" si="58"/>
        <v>2023</v>
      </c>
      <c r="E950" s="5" t="str">
        <f t="shared" si="59"/>
        <v>Q4</v>
      </c>
      <c r="F950" s="5">
        <v>136.9400024</v>
      </c>
      <c r="G950" s="5">
        <v>138.9400024</v>
      </c>
      <c r="H950" s="5">
        <v>135.61000060000001</v>
      </c>
      <c r="I950" s="5">
        <v>138.41999820000001</v>
      </c>
      <c r="J950" s="5">
        <v>19278100</v>
      </c>
      <c r="K950" s="5">
        <v>137.92001339999999</v>
      </c>
    </row>
    <row r="951" spans="1:11" hidden="1">
      <c r="A951" s="4">
        <v>45210</v>
      </c>
      <c r="B951" s="5">
        <f t="shared" si="56"/>
        <v>11</v>
      </c>
      <c r="C951" s="5">
        <f t="shared" si="57"/>
        <v>10</v>
      </c>
      <c r="D951" s="5">
        <f t="shared" si="58"/>
        <v>2023</v>
      </c>
      <c r="E951" s="5" t="str">
        <f t="shared" si="59"/>
        <v>Q4</v>
      </c>
      <c r="F951" s="5">
        <v>138.5</v>
      </c>
      <c r="G951" s="5">
        <v>139.72000120000001</v>
      </c>
      <c r="H951" s="5">
        <v>137.33000179999999</v>
      </c>
      <c r="I951" s="5">
        <v>138.0599976</v>
      </c>
      <c r="J951" s="5">
        <v>27786600</v>
      </c>
      <c r="K951" s="5">
        <v>137.5613251</v>
      </c>
    </row>
    <row r="952" spans="1:11" hidden="1">
      <c r="A952" s="4">
        <v>45211</v>
      </c>
      <c r="B952" s="5">
        <f t="shared" si="56"/>
        <v>12</v>
      </c>
      <c r="C952" s="5">
        <f t="shared" si="57"/>
        <v>10</v>
      </c>
      <c r="D952" s="5">
        <f t="shared" si="58"/>
        <v>2023</v>
      </c>
      <c r="E952" s="5" t="str">
        <f t="shared" si="59"/>
        <v>Q4</v>
      </c>
      <c r="F952" s="5">
        <v>138.58000179999999</v>
      </c>
      <c r="G952" s="5">
        <v>141.11000060000001</v>
      </c>
      <c r="H952" s="5">
        <v>138.58000179999999</v>
      </c>
      <c r="I952" s="5">
        <v>140.5500031</v>
      </c>
      <c r="J952" s="5">
        <v>25884300</v>
      </c>
      <c r="K952" s="5">
        <v>140.04234310000001</v>
      </c>
    </row>
    <row r="953" spans="1:11" hidden="1">
      <c r="A953" s="4">
        <v>45212</v>
      </c>
      <c r="B953" s="5">
        <f t="shared" si="56"/>
        <v>13</v>
      </c>
      <c r="C953" s="5">
        <f t="shared" si="57"/>
        <v>10</v>
      </c>
      <c r="D953" s="5">
        <f t="shared" si="58"/>
        <v>2023</v>
      </c>
      <c r="E953" s="5" t="str">
        <f t="shared" si="59"/>
        <v>Q4</v>
      </c>
      <c r="F953" s="5">
        <v>141.0500031</v>
      </c>
      <c r="G953" s="5">
        <v>141.22000120000001</v>
      </c>
      <c r="H953" s="5">
        <v>138.2599945</v>
      </c>
      <c r="I953" s="5">
        <v>138.97000120000001</v>
      </c>
      <c r="J953" s="5">
        <v>24765500</v>
      </c>
      <c r="K953" s="5">
        <v>138.4680481</v>
      </c>
    </row>
    <row r="954" spans="1:11" hidden="1">
      <c r="A954" s="4">
        <v>45215</v>
      </c>
      <c r="B954" s="5">
        <f t="shared" si="56"/>
        <v>16</v>
      </c>
      <c r="C954" s="5">
        <f t="shared" si="57"/>
        <v>10</v>
      </c>
      <c r="D954" s="5">
        <f t="shared" si="58"/>
        <v>2023</v>
      </c>
      <c r="E954" s="5" t="str">
        <f t="shared" si="59"/>
        <v>Q4</v>
      </c>
      <c r="F954" s="5">
        <v>139.38000489999999</v>
      </c>
      <c r="G954" s="5">
        <v>140</v>
      </c>
      <c r="H954" s="5">
        <v>136.61999510000001</v>
      </c>
      <c r="I954" s="5">
        <v>137.36000060000001</v>
      </c>
      <c r="J954" s="5">
        <v>23420500</v>
      </c>
      <c r="K954" s="5">
        <v>136.86386110000001</v>
      </c>
    </row>
    <row r="955" spans="1:11" hidden="1">
      <c r="A955" s="4">
        <v>45216</v>
      </c>
      <c r="B955" s="5">
        <f t="shared" si="56"/>
        <v>17</v>
      </c>
      <c r="C955" s="5">
        <f t="shared" si="57"/>
        <v>10</v>
      </c>
      <c r="D955" s="5">
        <f t="shared" si="58"/>
        <v>2023</v>
      </c>
      <c r="E955" s="5" t="str">
        <f t="shared" si="59"/>
        <v>Q4</v>
      </c>
      <c r="F955" s="5">
        <v>138.16999820000001</v>
      </c>
      <c r="G955" s="5">
        <v>139.63000489999999</v>
      </c>
      <c r="H955" s="5">
        <v>137.9900055</v>
      </c>
      <c r="I955" s="5">
        <v>139.1000061</v>
      </c>
      <c r="J955" s="5">
        <v>28501900</v>
      </c>
      <c r="K955" s="5">
        <v>138.59756469999999</v>
      </c>
    </row>
    <row r="956" spans="1:11" hidden="1">
      <c r="A956" s="4">
        <v>45217</v>
      </c>
      <c r="B956" s="5">
        <f t="shared" si="56"/>
        <v>18</v>
      </c>
      <c r="C956" s="5">
        <f t="shared" si="57"/>
        <v>10</v>
      </c>
      <c r="D956" s="5">
        <f t="shared" si="58"/>
        <v>2023</v>
      </c>
      <c r="E956" s="5" t="str">
        <f t="shared" si="59"/>
        <v>Q4</v>
      </c>
      <c r="F956" s="5">
        <v>138.63000489999999</v>
      </c>
      <c r="G956" s="5">
        <v>139.8999939</v>
      </c>
      <c r="H956" s="5">
        <v>137.17999270000001</v>
      </c>
      <c r="I956" s="5">
        <v>139.72000120000001</v>
      </c>
      <c r="J956" s="5">
        <v>23515800</v>
      </c>
      <c r="K956" s="5">
        <v>139.21534729999999</v>
      </c>
    </row>
    <row r="957" spans="1:11" hidden="1">
      <c r="A957" s="4">
        <v>45218</v>
      </c>
      <c r="B957" s="5">
        <f t="shared" si="56"/>
        <v>19</v>
      </c>
      <c r="C957" s="5">
        <f t="shared" si="57"/>
        <v>10</v>
      </c>
      <c r="D957" s="5">
        <f t="shared" si="58"/>
        <v>2023</v>
      </c>
      <c r="E957" s="5" t="str">
        <f t="shared" si="59"/>
        <v>Q4</v>
      </c>
      <c r="F957" s="5">
        <v>139.4499969</v>
      </c>
      <c r="G957" s="5">
        <v>140.72000120000001</v>
      </c>
      <c r="H957" s="5">
        <v>137.38000489999999</v>
      </c>
      <c r="I957" s="5">
        <v>137.96000670000001</v>
      </c>
      <c r="J957" s="5">
        <v>23375000</v>
      </c>
      <c r="K957" s="5">
        <v>137.46170040000001</v>
      </c>
    </row>
    <row r="958" spans="1:11" hidden="1">
      <c r="A958" s="4">
        <v>45219</v>
      </c>
      <c r="B958" s="5">
        <f t="shared" si="56"/>
        <v>20</v>
      </c>
      <c r="C958" s="5">
        <f t="shared" si="57"/>
        <v>10</v>
      </c>
      <c r="D958" s="5">
        <f t="shared" si="58"/>
        <v>2023</v>
      </c>
      <c r="E958" s="5" t="str">
        <f t="shared" si="59"/>
        <v>Q4</v>
      </c>
      <c r="F958" s="5">
        <v>138.5</v>
      </c>
      <c r="G958" s="5">
        <v>139.6600037</v>
      </c>
      <c r="H958" s="5">
        <v>137.38000489999999</v>
      </c>
      <c r="I958" s="5">
        <v>137.75</v>
      </c>
      <c r="J958" s="5">
        <v>26066000</v>
      </c>
      <c r="K958" s="5">
        <v>137.25245670000001</v>
      </c>
    </row>
    <row r="959" spans="1:11" hidden="1">
      <c r="A959" s="4">
        <v>45222</v>
      </c>
      <c r="B959" s="5">
        <f t="shared" si="56"/>
        <v>23</v>
      </c>
      <c r="C959" s="5">
        <f t="shared" si="57"/>
        <v>10</v>
      </c>
      <c r="D959" s="5">
        <f t="shared" si="58"/>
        <v>2023</v>
      </c>
      <c r="E959" s="5" t="str">
        <f t="shared" si="59"/>
        <v>Q4</v>
      </c>
      <c r="F959" s="5">
        <v>137.33000179999999</v>
      </c>
      <c r="G959" s="5">
        <v>137.86999510000001</v>
      </c>
      <c r="H959" s="5">
        <v>135.08000179999999</v>
      </c>
      <c r="I959" s="5">
        <v>135.6000061</v>
      </c>
      <c r="J959" s="5">
        <v>26315200</v>
      </c>
      <c r="K959" s="5">
        <v>135.1102295</v>
      </c>
    </row>
    <row r="960" spans="1:11" hidden="1">
      <c r="A960" s="4">
        <v>45223</v>
      </c>
      <c r="B960" s="5">
        <f t="shared" si="56"/>
        <v>24</v>
      </c>
      <c r="C960" s="5">
        <f t="shared" si="57"/>
        <v>10</v>
      </c>
      <c r="D960" s="5">
        <f t="shared" si="58"/>
        <v>2023</v>
      </c>
      <c r="E960" s="5" t="str">
        <f t="shared" si="59"/>
        <v>Q4</v>
      </c>
      <c r="F960" s="5">
        <v>135.03999329999999</v>
      </c>
      <c r="G960" s="5">
        <v>137.6600037</v>
      </c>
      <c r="H960" s="5">
        <v>133.9499969</v>
      </c>
      <c r="I960" s="5">
        <v>136.5</v>
      </c>
      <c r="J960" s="5">
        <v>26317900</v>
      </c>
      <c r="K960" s="5">
        <v>136.006958</v>
      </c>
    </row>
    <row r="961" spans="1:11" hidden="1">
      <c r="A961" s="4">
        <v>45224</v>
      </c>
      <c r="B961" s="5">
        <f t="shared" si="56"/>
        <v>25</v>
      </c>
      <c r="C961" s="5">
        <f t="shared" si="57"/>
        <v>10</v>
      </c>
      <c r="D961" s="5">
        <f t="shared" si="58"/>
        <v>2023</v>
      </c>
      <c r="E961" s="5" t="str">
        <f t="shared" si="59"/>
        <v>Q4</v>
      </c>
      <c r="F961" s="5">
        <v>137.83000179999999</v>
      </c>
      <c r="G961" s="5">
        <v>139.36000060000001</v>
      </c>
      <c r="H961" s="5">
        <v>137.41999820000001</v>
      </c>
      <c r="I961" s="5">
        <v>138.8099976</v>
      </c>
      <c r="J961" s="5">
        <v>44814300</v>
      </c>
      <c r="K961" s="5">
        <v>138.30860899999999</v>
      </c>
    </row>
    <row r="962" spans="1:11" hidden="1">
      <c r="A962" s="4">
        <v>45225</v>
      </c>
      <c r="B962" s="5">
        <f t="shared" ref="B962:B1025" si="60">DAY(A962)</f>
        <v>26</v>
      </c>
      <c r="C962" s="5">
        <f t="shared" ref="C962:C1025" si="61">MONTH(A962)</f>
        <v>10</v>
      </c>
      <c r="D962" s="5">
        <f t="shared" ref="D962:D1025" si="62">YEAR(A962)</f>
        <v>2023</v>
      </c>
      <c r="E962" s="5" t="str">
        <f t="shared" ref="E962:E1025" si="63">"Q"&amp;ROUNDUP(MONTH(A962)/3,0)</f>
        <v>Q4</v>
      </c>
      <c r="F962" s="5">
        <v>128.1600037</v>
      </c>
      <c r="G962" s="5">
        <v>128.3099976</v>
      </c>
      <c r="H962" s="5">
        <v>125.0699997</v>
      </c>
      <c r="I962" s="5">
        <v>125.61000060000001</v>
      </c>
      <c r="J962" s="5">
        <v>84366200</v>
      </c>
      <c r="K962" s="5">
        <v>125.1563034</v>
      </c>
    </row>
    <row r="963" spans="1:11" hidden="1">
      <c r="A963" s="4">
        <v>45226</v>
      </c>
      <c r="B963" s="5">
        <f t="shared" si="60"/>
        <v>27</v>
      </c>
      <c r="C963" s="5">
        <f t="shared" si="61"/>
        <v>10</v>
      </c>
      <c r="D963" s="5">
        <f t="shared" si="62"/>
        <v>2023</v>
      </c>
      <c r="E963" s="5" t="str">
        <f t="shared" si="63"/>
        <v>Q4</v>
      </c>
      <c r="F963" s="5">
        <v>123.2699966</v>
      </c>
      <c r="G963" s="5">
        <v>124.33000180000001</v>
      </c>
      <c r="H963" s="5">
        <v>121.2699966</v>
      </c>
      <c r="I963" s="5">
        <v>122.2799988</v>
      </c>
      <c r="J963" s="5">
        <v>57061100</v>
      </c>
      <c r="K963" s="5">
        <v>121.8383255</v>
      </c>
    </row>
    <row r="964" spans="1:11" hidden="1">
      <c r="A964" s="4">
        <v>45229</v>
      </c>
      <c r="B964" s="5">
        <f t="shared" si="60"/>
        <v>30</v>
      </c>
      <c r="C964" s="5">
        <f t="shared" si="61"/>
        <v>10</v>
      </c>
      <c r="D964" s="5">
        <f t="shared" si="62"/>
        <v>2023</v>
      </c>
      <c r="E964" s="5" t="str">
        <f t="shared" si="63"/>
        <v>Q4</v>
      </c>
      <c r="F964" s="5">
        <v>122.8799973</v>
      </c>
      <c r="G964" s="5">
        <v>123.3099976</v>
      </c>
      <c r="H964" s="5">
        <v>120.2099991</v>
      </c>
      <c r="I964" s="5">
        <v>122.16999819999999</v>
      </c>
      <c r="J964" s="5">
        <v>44566500</v>
      </c>
      <c r="K964" s="5">
        <v>121.7287216</v>
      </c>
    </row>
    <row r="965" spans="1:11" hidden="1">
      <c r="A965" s="4">
        <v>45230</v>
      </c>
      <c r="B965" s="5">
        <f t="shared" si="60"/>
        <v>31</v>
      </c>
      <c r="C965" s="5">
        <f t="shared" si="61"/>
        <v>10</v>
      </c>
      <c r="D965" s="5">
        <f t="shared" si="62"/>
        <v>2023</v>
      </c>
      <c r="E965" s="5" t="str">
        <f t="shared" si="63"/>
        <v>Q4</v>
      </c>
      <c r="F965" s="5">
        <v>123.2099991</v>
      </c>
      <c r="G965" s="5">
        <v>125.4000015</v>
      </c>
      <c r="H965" s="5">
        <v>122.75</v>
      </c>
      <c r="I965" s="5">
        <v>124.4599991</v>
      </c>
      <c r="J965" s="5">
        <v>28940100</v>
      </c>
      <c r="K965" s="5">
        <v>124.0104523</v>
      </c>
    </row>
    <row r="966" spans="1:11" hidden="1">
      <c r="A966" s="4">
        <v>45231</v>
      </c>
      <c r="B966" s="5">
        <f t="shared" si="60"/>
        <v>1</v>
      </c>
      <c r="C966" s="5">
        <f t="shared" si="61"/>
        <v>11</v>
      </c>
      <c r="D966" s="5">
        <f t="shared" si="62"/>
        <v>2023</v>
      </c>
      <c r="E966" s="5" t="str">
        <f t="shared" si="63"/>
        <v>Q4</v>
      </c>
      <c r="F966" s="5">
        <v>125.0599976</v>
      </c>
      <c r="G966" s="5">
        <v>125.3700027</v>
      </c>
      <c r="H966" s="5">
        <v>122.6900024</v>
      </c>
      <c r="I966" s="5">
        <v>124.08000180000001</v>
      </c>
      <c r="J966" s="5">
        <v>26292300</v>
      </c>
      <c r="K966" s="5">
        <v>123.6318283</v>
      </c>
    </row>
    <row r="967" spans="1:11" hidden="1">
      <c r="A967" s="4">
        <v>45232</v>
      </c>
      <c r="B967" s="5">
        <f t="shared" si="60"/>
        <v>2</v>
      </c>
      <c r="C967" s="5">
        <f t="shared" si="61"/>
        <v>11</v>
      </c>
      <c r="D967" s="5">
        <f t="shared" si="62"/>
        <v>2023</v>
      </c>
      <c r="E967" s="5" t="str">
        <f t="shared" si="63"/>
        <v>Q4</v>
      </c>
      <c r="F967" s="5">
        <v>124.0699997</v>
      </c>
      <c r="G967" s="5">
        <v>126.48999790000001</v>
      </c>
      <c r="H967" s="5">
        <v>123.7200012</v>
      </c>
      <c r="I967" s="5">
        <v>126.4499969</v>
      </c>
      <c r="J967" s="5">
        <v>30082400</v>
      </c>
      <c r="K967" s="5">
        <v>125.9932632</v>
      </c>
    </row>
    <row r="968" spans="1:11" hidden="1">
      <c r="A968" s="4">
        <v>45233</v>
      </c>
      <c r="B968" s="5">
        <f t="shared" si="60"/>
        <v>3</v>
      </c>
      <c r="C968" s="5">
        <f t="shared" si="61"/>
        <v>11</v>
      </c>
      <c r="D968" s="5">
        <f t="shared" si="62"/>
        <v>2023</v>
      </c>
      <c r="E968" s="5" t="str">
        <f t="shared" si="63"/>
        <v>Q4</v>
      </c>
      <c r="F968" s="5">
        <v>128.41999820000001</v>
      </c>
      <c r="G968" s="5">
        <v>128.97999569999999</v>
      </c>
      <c r="H968" s="5">
        <v>126.9300003</v>
      </c>
      <c r="I968" s="5">
        <v>127.48999790000001</v>
      </c>
      <c r="J968" s="5">
        <v>27124600</v>
      </c>
      <c r="K968" s="5">
        <v>127.0295105</v>
      </c>
    </row>
    <row r="969" spans="1:11" hidden="1">
      <c r="A969" s="4">
        <v>45236</v>
      </c>
      <c r="B969" s="5">
        <f t="shared" si="60"/>
        <v>6</v>
      </c>
      <c r="C969" s="5">
        <f t="shared" si="61"/>
        <v>11</v>
      </c>
      <c r="D969" s="5">
        <f t="shared" si="62"/>
        <v>2023</v>
      </c>
      <c r="E969" s="5" t="str">
        <f t="shared" si="63"/>
        <v>Q4</v>
      </c>
      <c r="F969" s="5">
        <v>128.02000430000001</v>
      </c>
      <c r="G969" s="5">
        <v>129.52999879999999</v>
      </c>
      <c r="H969" s="5">
        <v>127.86000060000001</v>
      </c>
      <c r="I969" s="5">
        <v>129.1000061</v>
      </c>
      <c r="J969" s="5">
        <v>26380100</v>
      </c>
      <c r="K969" s="5">
        <v>128.63369750000001</v>
      </c>
    </row>
    <row r="970" spans="1:11" hidden="1">
      <c r="A970" s="4">
        <v>45237</v>
      </c>
      <c r="B970" s="5">
        <f t="shared" si="60"/>
        <v>7</v>
      </c>
      <c r="C970" s="5">
        <f t="shared" si="61"/>
        <v>11</v>
      </c>
      <c r="D970" s="5">
        <f t="shared" si="62"/>
        <v>2023</v>
      </c>
      <c r="E970" s="5" t="str">
        <f t="shared" si="63"/>
        <v>Q4</v>
      </c>
      <c r="F970" s="5">
        <v>129.0500031</v>
      </c>
      <c r="G970" s="5">
        <v>130.3399963</v>
      </c>
      <c r="H970" s="5">
        <v>128.66999820000001</v>
      </c>
      <c r="I970" s="5">
        <v>130.25</v>
      </c>
      <c r="J970" s="5">
        <v>19052700</v>
      </c>
      <c r="K970" s="5">
        <v>129.77954099999999</v>
      </c>
    </row>
    <row r="971" spans="1:11" hidden="1">
      <c r="A971" s="4">
        <v>45238</v>
      </c>
      <c r="B971" s="5">
        <f t="shared" si="60"/>
        <v>8</v>
      </c>
      <c r="C971" s="5">
        <f t="shared" si="61"/>
        <v>11</v>
      </c>
      <c r="D971" s="5">
        <f t="shared" si="62"/>
        <v>2023</v>
      </c>
      <c r="E971" s="5" t="str">
        <f t="shared" si="63"/>
        <v>Q4</v>
      </c>
      <c r="F971" s="5">
        <v>130.71000670000001</v>
      </c>
      <c r="G971" s="5">
        <v>131.9100037</v>
      </c>
      <c r="H971" s="5">
        <v>129.88000489999999</v>
      </c>
      <c r="I971" s="5">
        <v>130.97000120000001</v>
      </c>
      <c r="J971" s="5">
        <v>29757300</v>
      </c>
      <c r="K971" s="5">
        <v>130.49694819999999</v>
      </c>
    </row>
    <row r="972" spans="1:11" hidden="1">
      <c r="A972" s="4">
        <v>45239</v>
      </c>
      <c r="B972" s="5">
        <f t="shared" si="60"/>
        <v>9</v>
      </c>
      <c r="C972" s="5">
        <f t="shared" si="61"/>
        <v>11</v>
      </c>
      <c r="D972" s="5">
        <f t="shared" si="62"/>
        <v>2023</v>
      </c>
      <c r="E972" s="5" t="str">
        <f t="shared" si="63"/>
        <v>Q4</v>
      </c>
      <c r="F972" s="5">
        <v>130.97000120000001</v>
      </c>
      <c r="G972" s="5">
        <v>132.21000670000001</v>
      </c>
      <c r="H972" s="5">
        <v>130.77999879999999</v>
      </c>
      <c r="I972" s="5">
        <v>131.8399963</v>
      </c>
      <c r="J972" s="5">
        <v>26425800</v>
      </c>
      <c r="K972" s="5">
        <v>131.36378479999999</v>
      </c>
    </row>
    <row r="973" spans="1:11" hidden="1">
      <c r="A973" s="4">
        <v>45240</v>
      </c>
      <c r="B973" s="5">
        <f t="shared" si="60"/>
        <v>10</v>
      </c>
      <c r="C973" s="5">
        <f t="shared" si="61"/>
        <v>11</v>
      </c>
      <c r="D973" s="5">
        <f t="shared" si="62"/>
        <v>2023</v>
      </c>
      <c r="E973" s="5" t="str">
        <f t="shared" si="63"/>
        <v>Q4</v>
      </c>
      <c r="F973" s="5">
        <v>131.96000670000001</v>
      </c>
      <c r="G973" s="5">
        <v>132.5500031</v>
      </c>
      <c r="H973" s="5">
        <v>130.07000729999999</v>
      </c>
      <c r="I973" s="5">
        <v>130.2400055</v>
      </c>
      <c r="J973" s="5">
        <v>23747800</v>
      </c>
      <c r="K973" s="5">
        <v>129.769577</v>
      </c>
    </row>
    <row r="974" spans="1:11" hidden="1">
      <c r="A974" s="4">
        <v>45243</v>
      </c>
      <c r="B974" s="5">
        <f t="shared" si="60"/>
        <v>13</v>
      </c>
      <c r="C974" s="5">
        <f t="shared" si="61"/>
        <v>11</v>
      </c>
      <c r="D974" s="5">
        <f t="shared" si="62"/>
        <v>2023</v>
      </c>
      <c r="E974" s="5" t="str">
        <f t="shared" si="63"/>
        <v>Q4</v>
      </c>
      <c r="F974" s="5">
        <v>130.1000061</v>
      </c>
      <c r="G974" s="5">
        <v>132.8000031</v>
      </c>
      <c r="H974" s="5">
        <v>129.4100037</v>
      </c>
      <c r="I974" s="5">
        <v>132.5899963</v>
      </c>
      <c r="J974" s="5">
        <v>26913300</v>
      </c>
      <c r="K974" s="5">
        <v>132.11108400000001</v>
      </c>
    </row>
    <row r="975" spans="1:11" hidden="1">
      <c r="A975" s="4">
        <v>45244</v>
      </c>
      <c r="B975" s="5">
        <f t="shared" si="60"/>
        <v>14</v>
      </c>
      <c r="C975" s="5">
        <f t="shared" si="61"/>
        <v>11</v>
      </c>
      <c r="D975" s="5">
        <f t="shared" si="62"/>
        <v>2023</v>
      </c>
      <c r="E975" s="5" t="str">
        <f t="shared" si="63"/>
        <v>Q4</v>
      </c>
      <c r="F975" s="5">
        <v>131.77999879999999</v>
      </c>
      <c r="G975" s="5">
        <v>132.5899963</v>
      </c>
      <c r="H975" s="5">
        <v>131.25</v>
      </c>
      <c r="I975" s="5">
        <v>132.0899963</v>
      </c>
      <c r="J975" s="5">
        <v>18324800</v>
      </c>
      <c r="K975" s="5">
        <v>131.61288450000001</v>
      </c>
    </row>
    <row r="976" spans="1:11" hidden="1">
      <c r="A976" s="4">
        <v>45245</v>
      </c>
      <c r="B976" s="5">
        <f t="shared" si="60"/>
        <v>15</v>
      </c>
      <c r="C976" s="5">
        <f t="shared" si="61"/>
        <v>11</v>
      </c>
      <c r="D976" s="5">
        <f t="shared" si="62"/>
        <v>2023</v>
      </c>
      <c r="E976" s="5" t="str">
        <f t="shared" si="63"/>
        <v>Q4</v>
      </c>
      <c r="F976" s="5">
        <v>134.1900024</v>
      </c>
      <c r="G976" s="5">
        <v>135.6999969</v>
      </c>
      <c r="H976" s="5">
        <v>133.32000729999999</v>
      </c>
      <c r="I976" s="5">
        <v>133.61999510000001</v>
      </c>
      <c r="J976" s="5">
        <v>32395200</v>
      </c>
      <c r="K976" s="5">
        <v>133.1373596</v>
      </c>
    </row>
    <row r="977" spans="1:11" hidden="1">
      <c r="A977" s="4">
        <v>45246</v>
      </c>
      <c r="B977" s="5">
        <f t="shared" si="60"/>
        <v>16</v>
      </c>
      <c r="C977" s="5">
        <f t="shared" si="61"/>
        <v>11</v>
      </c>
      <c r="D977" s="5">
        <f t="shared" si="62"/>
        <v>2023</v>
      </c>
      <c r="E977" s="5" t="str">
        <f t="shared" si="63"/>
        <v>Q4</v>
      </c>
      <c r="F977" s="5">
        <v>134.86999510000001</v>
      </c>
      <c r="G977" s="5">
        <v>135.02999879999999</v>
      </c>
      <c r="H977" s="5">
        <v>133.57000729999999</v>
      </c>
      <c r="I977" s="5">
        <v>134.61999510000001</v>
      </c>
      <c r="J977" s="5">
        <v>23861500</v>
      </c>
      <c r="K977" s="5">
        <v>134.13374329999999</v>
      </c>
    </row>
    <row r="978" spans="1:11" hidden="1">
      <c r="A978" s="4">
        <v>45247</v>
      </c>
      <c r="B978" s="5">
        <f t="shared" si="60"/>
        <v>17</v>
      </c>
      <c r="C978" s="5">
        <f t="shared" si="61"/>
        <v>11</v>
      </c>
      <c r="D978" s="5">
        <f t="shared" si="62"/>
        <v>2023</v>
      </c>
      <c r="E978" s="5" t="str">
        <f t="shared" si="63"/>
        <v>Q4</v>
      </c>
      <c r="F978" s="5">
        <v>135.1900024</v>
      </c>
      <c r="G978" s="5">
        <v>137.22000120000001</v>
      </c>
      <c r="H978" s="5">
        <v>134.32000729999999</v>
      </c>
      <c r="I978" s="5">
        <v>136.92999270000001</v>
      </c>
      <c r="J978" s="5">
        <v>28013200</v>
      </c>
      <c r="K978" s="5">
        <v>136.43540949999999</v>
      </c>
    </row>
    <row r="979" spans="1:11" hidden="1">
      <c r="A979" s="4">
        <v>45250</v>
      </c>
      <c r="B979" s="5">
        <f t="shared" si="60"/>
        <v>20</v>
      </c>
      <c r="C979" s="5">
        <f t="shared" si="61"/>
        <v>11</v>
      </c>
      <c r="D979" s="5">
        <f t="shared" si="62"/>
        <v>2023</v>
      </c>
      <c r="E979" s="5" t="str">
        <f t="shared" si="63"/>
        <v>Q4</v>
      </c>
      <c r="F979" s="5">
        <v>136</v>
      </c>
      <c r="G979" s="5">
        <v>136.0599976</v>
      </c>
      <c r="H979" s="5">
        <v>133.6499939</v>
      </c>
      <c r="I979" s="5">
        <v>135.3099976</v>
      </c>
      <c r="J979" s="5">
        <v>37240600</v>
      </c>
      <c r="K979" s="5">
        <v>134.8212585</v>
      </c>
    </row>
    <row r="980" spans="1:11" hidden="1">
      <c r="A980" s="4">
        <v>45251</v>
      </c>
      <c r="B980" s="5">
        <f t="shared" si="60"/>
        <v>21</v>
      </c>
      <c r="C980" s="5">
        <f t="shared" si="61"/>
        <v>11</v>
      </c>
      <c r="D980" s="5">
        <f t="shared" si="62"/>
        <v>2023</v>
      </c>
      <c r="E980" s="5" t="str">
        <f t="shared" si="63"/>
        <v>Q4</v>
      </c>
      <c r="F980" s="5">
        <v>133.6900024</v>
      </c>
      <c r="G980" s="5">
        <v>136.6600037</v>
      </c>
      <c r="H980" s="5">
        <v>133.61999510000001</v>
      </c>
      <c r="I980" s="5">
        <v>136.25</v>
      </c>
      <c r="J980" s="5">
        <v>27815500</v>
      </c>
      <c r="K980" s="5">
        <v>135.75787349999999</v>
      </c>
    </row>
    <row r="981" spans="1:11" hidden="1">
      <c r="A981" s="4">
        <v>45252</v>
      </c>
      <c r="B981" s="5">
        <f t="shared" si="60"/>
        <v>22</v>
      </c>
      <c r="C981" s="5">
        <f t="shared" si="61"/>
        <v>11</v>
      </c>
      <c r="D981" s="5">
        <f t="shared" si="62"/>
        <v>2023</v>
      </c>
      <c r="E981" s="5" t="str">
        <f t="shared" si="63"/>
        <v>Q4</v>
      </c>
      <c r="F981" s="5">
        <v>136.28999329999999</v>
      </c>
      <c r="G981" s="5">
        <v>137.17999270000001</v>
      </c>
      <c r="H981" s="5">
        <v>135.96000670000001</v>
      </c>
      <c r="I981" s="5">
        <v>136.97000120000001</v>
      </c>
      <c r="J981" s="5">
        <v>22635300</v>
      </c>
      <c r="K981" s="5">
        <v>136.47526550000001</v>
      </c>
    </row>
    <row r="982" spans="1:11" hidden="1">
      <c r="A982" s="4">
        <v>45254</v>
      </c>
      <c r="B982" s="5">
        <f t="shared" si="60"/>
        <v>24</v>
      </c>
      <c r="C982" s="5">
        <f t="shared" si="61"/>
        <v>11</v>
      </c>
      <c r="D982" s="5">
        <f t="shared" si="62"/>
        <v>2023</v>
      </c>
      <c r="E982" s="5" t="str">
        <f t="shared" si="63"/>
        <v>Q4</v>
      </c>
      <c r="F982" s="5">
        <v>137.47000120000001</v>
      </c>
      <c r="G982" s="5">
        <v>139.41999820000001</v>
      </c>
      <c r="H982" s="5">
        <v>137.47000120000001</v>
      </c>
      <c r="I982" s="5">
        <v>138.4900055</v>
      </c>
      <c r="J982" s="5">
        <v>17813900</v>
      </c>
      <c r="K982" s="5">
        <v>137.9897766</v>
      </c>
    </row>
    <row r="983" spans="1:11" hidden="1">
      <c r="A983" s="4">
        <v>45257</v>
      </c>
      <c r="B983" s="5">
        <f t="shared" si="60"/>
        <v>27</v>
      </c>
      <c r="C983" s="5">
        <f t="shared" si="61"/>
        <v>11</v>
      </c>
      <c r="D983" s="5">
        <f t="shared" si="62"/>
        <v>2023</v>
      </c>
      <c r="E983" s="5" t="str">
        <f t="shared" si="63"/>
        <v>Q4</v>
      </c>
      <c r="F983" s="5">
        <v>138.02999879999999</v>
      </c>
      <c r="G983" s="5">
        <v>138.13000489999999</v>
      </c>
      <c r="H983" s="5">
        <v>135.9900055</v>
      </c>
      <c r="I983" s="5">
        <v>136.6900024</v>
      </c>
      <c r="J983" s="5">
        <v>12514300</v>
      </c>
      <c r="K983" s="5">
        <v>136.1962738</v>
      </c>
    </row>
    <row r="984" spans="1:11" hidden="1">
      <c r="A984" s="4">
        <v>45258</v>
      </c>
      <c r="B984" s="5">
        <f t="shared" si="60"/>
        <v>28</v>
      </c>
      <c r="C984" s="5">
        <f t="shared" si="61"/>
        <v>11</v>
      </c>
      <c r="D984" s="5">
        <f t="shared" si="62"/>
        <v>2023</v>
      </c>
      <c r="E984" s="5" t="str">
        <f t="shared" si="63"/>
        <v>Q4</v>
      </c>
      <c r="F984" s="5">
        <v>136.02999879999999</v>
      </c>
      <c r="G984" s="5">
        <v>138.41999820000001</v>
      </c>
      <c r="H984" s="5">
        <v>136</v>
      </c>
      <c r="I984" s="5">
        <v>136.4100037</v>
      </c>
      <c r="J984" s="5">
        <v>23436500</v>
      </c>
      <c r="K984" s="5">
        <v>135.9172974</v>
      </c>
    </row>
    <row r="985" spans="1:11" hidden="1">
      <c r="A985" s="4">
        <v>45259</v>
      </c>
      <c r="B985" s="5">
        <f t="shared" si="60"/>
        <v>29</v>
      </c>
      <c r="C985" s="5">
        <f t="shared" si="61"/>
        <v>11</v>
      </c>
      <c r="D985" s="5">
        <f t="shared" si="62"/>
        <v>2023</v>
      </c>
      <c r="E985" s="5" t="str">
        <f t="shared" si="63"/>
        <v>Q4</v>
      </c>
      <c r="F985" s="5">
        <v>136.08000179999999</v>
      </c>
      <c r="G985" s="5">
        <v>137.25</v>
      </c>
      <c r="H985" s="5">
        <v>135.41999820000001</v>
      </c>
      <c r="I985" s="5">
        <v>137.1999969</v>
      </c>
      <c r="J985" s="5">
        <v>18730000</v>
      </c>
      <c r="K985" s="5">
        <v>136.7044373</v>
      </c>
    </row>
    <row r="986" spans="1:11" hidden="1">
      <c r="A986" s="4">
        <v>45260</v>
      </c>
      <c r="B986" s="5">
        <f t="shared" si="60"/>
        <v>30</v>
      </c>
      <c r="C986" s="5">
        <f t="shared" si="61"/>
        <v>11</v>
      </c>
      <c r="D986" s="5">
        <f t="shared" si="62"/>
        <v>2023</v>
      </c>
      <c r="E986" s="5" t="str">
        <f t="shared" si="63"/>
        <v>Q4</v>
      </c>
      <c r="F986" s="5">
        <v>137.57000729999999</v>
      </c>
      <c r="G986" s="5">
        <v>138.28999329999999</v>
      </c>
      <c r="H986" s="5">
        <v>134.8399963</v>
      </c>
      <c r="I986" s="5">
        <v>134.9900055</v>
      </c>
      <c r="J986" s="5">
        <v>23967200</v>
      </c>
      <c r="K986" s="5">
        <v>134.50242610000001</v>
      </c>
    </row>
    <row r="987" spans="1:11" hidden="1">
      <c r="A987" s="4">
        <v>45261</v>
      </c>
      <c r="B987" s="5">
        <f t="shared" si="60"/>
        <v>1</v>
      </c>
      <c r="C987" s="5">
        <f t="shared" si="61"/>
        <v>12</v>
      </c>
      <c r="D987" s="5">
        <f t="shared" si="62"/>
        <v>2023</v>
      </c>
      <c r="E987" s="5" t="str">
        <f t="shared" si="63"/>
        <v>Q4</v>
      </c>
      <c r="F987" s="5">
        <v>135.0500031</v>
      </c>
      <c r="G987" s="5">
        <v>135.5500031</v>
      </c>
      <c r="H987" s="5">
        <v>131.27999879999999</v>
      </c>
      <c r="I987" s="5">
        <v>132.52999879999999</v>
      </c>
      <c r="J987" s="5">
        <v>38988300</v>
      </c>
      <c r="K987" s="5">
        <v>132.0513</v>
      </c>
    </row>
    <row r="988" spans="1:11" hidden="1">
      <c r="A988" s="4">
        <v>45264</v>
      </c>
      <c r="B988" s="5">
        <f t="shared" si="60"/>
        <v>4</v>
      </c>
      <c r="C988" s="5">
        <f t="shared" si="61"/>
        <v>12</v>
      </c>
      <c r="D988" s="5">
        <f t="shared" si="62"/>
        <v>2023</v>
      </c>
      <c r="E988" s="5" t="str">
        <f t="shared" si="63"/>
        <v>Q4</v>
      </c>
      <c r="F988" s="5">
        <v>131.86000060000001</v>
      </c>
      <c r="G988" s="5">
        <v>132.11000060000001</v>
      </c>
      <c r="H988" s="5">
        <v>130.66999820000001</v>
      </c>
      <c r="I988" s="5">
        <v>131.86000060000001</v>
      </c>
      <c r="J988" s="5">
        <v>31431200</v>
      </c>
      <c r="K988" s="5">
        <v>131.38371280000001</v>
      </c>
    </row>
    <row r="989" spans="1:11" hidden="1">
      <c r="A989" s="4">
        <v>45265</v>
      </c>
      <c r="B989" s="5">
        <f t="shared" si="60"/>
        <v>5</v>
      </c>
      <c r="C989" s="5">
        <f t="shared" si="61"/>
        <v>12</v>
      </c>
      <c r="D989" s="5">
        <f t="shared" si="62"/>
        <v>2023</v>
      </c>
      <c r="E989" s="5" t="str">
        <f t="shared" si="63"/>
        <v>Q4</v>
      </c>
      <c r="F989" s="5">
        <v>129.88000489999999</v>
      </c>
      <c r="G989" s="5">
        <v>130.02999879999999</v>
      </c>
      <c r="H989" s="5">
        <v>127.9000015</v>
      </c>
      <c r="I989" s="5">
        <v>129.27000430000001</v>
      </c>
      <c r="J989" s="5">
        <v>36669900</v>
      </c>
      <c r="K989" s="5">
        <v>128.80308529999999</v>
      </c>
    </row>
    <row r="990" spans="1:11" hidden="1">
      <c r="A990" s="4">
        <v>45266</v>
      </c>
      <c r="B990" s="5">
        <f t="shared" si="60"/>
        <v>6</v>
      </c>
      <c r="C990" s="5">
        <f t="shared" si="61"/>
        <v>12</v>
      </c>
      <c r="D990" s="5">
        <f t="shared" si="62"/>
        <v>2023</v>
      </c>
      <c r="E990" s="5" t="str">
        <f t="shared" si="63"/>
        <v>Q4</v>
      </c>
      <c r="F990" s="5">
        <v>128.9499969</v>
      </c>
      <c r="G990" s="5">
        <v>132.13999939999999</v>
      </c>
      <c r="H990" s="5">
        <v>128.25</v>
      </c>
      <c r="I990" s="5">
        <v>130.9900055</v>
      </c>
      <c r="J990" s="5">
        <v>27384800</v>
      </c>
      <c r="K990" s="5">
        <v>130.51687620000001</v>
      </c>
    </row>
    <row r="991" spans="1:11" hidden="1">
      <c r="A991" s="4">
        <v>45267</v>
      </c>
      <c r="B991" s="5">
        <f t="shared" si="60"/>
        <v>7</v>
      </c>
      <c r="C991" s="5">
        <f t="shared" si="61"/>
        <v>12</v>
      </c>
      <c r="D991" s="5">
        <f t="shared" si="62"/>
        <v>2023</v>
      </c>
      <c r="E991" s="5" t="str">
        <f t="shared" si="63"/>
        <v>Q4</v>
      </c>
      <c r="F991" s="5">
        <v>131.4400024</v>
      </c>
      <c r="G991" s="5">
        <v>131.8399963</v>
      </c>
      <c r="H991" s="5">
        <v>129.88000489999999</v>
      </c>
      <c r="I991" s="5">
        <v>130.02000430000001</v>
      </c>
      <c r="J991" s="5">
        <v>23576200</v>
      </c>
      <c r="K991" s="5">
        <v>129.5503693</v>
      </c>
    </row>
    <row r="992" spans="1:11" hidden="1">
      <c r="A992" s="4">
        <v>45268</v>
      </c>
      <c r="B992" s="5">
        <f t="shared" si="60"/>
        <v>8</v>
      </c>
      <c r="C992" s="5">
        <f t="shared" si="61"/>
        <v>12</v>
      </c>
      <c r="D992" s="5">
        <f t="shared" si="62"/>
        <v>2023</v>
      </c>
      <c r="E992" s="5" t="str">
        <f t="shared" si="63"/>
        <v>Q4</v>
      </c>
      <c r="F992" s="5">
        <v>135.03999329999999</v>
      </c>
      <c r="G992" s="5">
        <v>138.5599976</v>
      </c>
      <c r="H992" s="5">
        <v>134.6999969</v>
      </c>
      <c r="I992" s="5">
        <v>136.92999270000001</v>
      </c>
      <c r="J992" s="5">
        <v>56767100</v>
      </c>
      <c r="K992" s="5">
        <v>136.43540949999999</v>
      </c>
    </row>
    <row r="993" spans="1:11" hidden="1">
      <c r="A993" s="4">
        <v>45271</v>
      </c>
      <c r="B993" s="5">
        <f t="shared" si="60"/>
        <v>11</v>
      </c>
      <c r="C993" s="5">
        <f t="shared" si="61"/>
        <v>12</v>
      </c>
      <c r="D993" s="5">
        <f t="shared" si="62"/>
        <v>2023</v>
      </c>
      <c r="E993" s="5" t="str">
        <f t="shared" si="63"/>
        <v>Q4</v>
      </c>
      <c r="F993" s="5">
        <v>134.1999969</v>
      </c>
      <c r="G993" s="5">
        <v>136.3999939</v>
      </c>
      <c r="H993" s="5">
        <v>134.02999879999999</v>
      </c>
      <c r="I993" s="5">
        <v>134.9900055</v>
      </c>
      <c r="J993" s="5">
        <v>32233900</v>
      </c>
      <c r="K993" s="5">
        <v>134.50242610000001</v>
      </c>
    </row>
    <row r="994" spans="1:11" hidden="1">
      <c r="A994" s="4">
        <v>45272</v>
      </c>
      <c r="B994" s="5">
        <f t="shared" si="60"/>
        <v>12</v>
      </c>
      <c r="C994" s="5">
        <f t="shared" si="61"/>
        <v>12</v>
      </c>
      <c r="D994" s="5">
        <f t="shared" si="62"/>
        <v>2023</v>
      </c>
      <c r="E994" s="5" t="str">
        <f t="shared" si="63"/>
        <v>Q4</v>
      </c>
      <c r="F994" s="5">
        <v>132.38000489999999</v>
      </c>
      <c r="G994" s="5">
        <v>133.3399963</v>
      </c>
      <c r="H994" s="5">
        <v>131.36000060000001</v>
      </c>
      <c r="I994" s="5">
        <v>133.28999329999999</v>
      </c>
      <c r="J994" s="5">
        <v>31138000</v>
      </c>
      <c r="K994" s="5">
        <v>132.808548</v>
      </c>
    </row>
    <row r="995" spans="1:11" hidden="1">
      <c r="A995" s="4">
        <v>45273</v>
      </c>
      <c r="B995" s="5">
        <f t="shared" si="60"/>
        <v>13</v>
      </c>
      <c r="C995" s="5">
        <f t="shared" si="61"/>
        <v>12</v>
      </c>
      <c r="D995" s="5">
        <f t="shared" si="62"/>
        <v>2023</v>
      </c>
      <c r="E995" s="5" t="str">
        <f t="shared" si="63"/>
        <v>Q4</v>
      </c>
      <c r="F995" s="5">
        <v>131.8099976</v>
      </c>
      <c r="G995" s="5">
        <v>133</v>
      </c>
      <c r="H995" s="5">
        <v>131.2599945</v>
      </c>
      <c r="I995" s="5">
        <v>132.52000430000001</v>
      </c>
      <c r="J995" s="5">
        <v>29032800</v>
      </c>
      <c r="K995" s="5">
        <v>132.0413361</v>
      </c>
    </row>
    <row r="996" spans="1:11" hidden="1">
      <c r="A996" s="4">
        <v>45274</v>
      </c>
      <c r="B996" s="5">
        <f t="shared" si="60"/>
        <v>14</v>
      </c>
      <c r="C996" s="5">
        <f t="shared" si="61"/>
        <v>12</v>
      </c>
      <c r="D996" s="5">
        <f t="shared" si="62"/>
        <v>2023</v>
      </c>
      <c r="E996" s="5" t="str">
        <f t="shared" si="63"/>
        <v>Q4</v>
      </c>
      <c r="F996" s="5">
        <v>133.38000489999999</v>
      </c>
      <c r="G996" s="5">
        <v>133.5</v>
      </c>
      <c r="H996" s="5">
        <v>131.57000729999999</v>
      </c>
      <c r="I996" s="5">
        <v>132.57000729999999</v>
      </c>
      <c r="J996" s="5">
        <v>30104800</v>
      </c>
      <c r="K996" s="5">
        <v>132.09117130000001</v>
      </c>
    </row>
    <row r="997" spans="1:11" hidden="1">
      <c r="A997" s="4">
        <v>45275</v>
      </c>
      <c r="B997" s="5">
        <f t="shared" si="60"/>
        <v>15</v>
      </c>
      <c r="C997" s="5">
        <f t="shared" si="61"/>
        <v>12</v>
      </c>
      <c r="D997" s="5">
        <f t="shared" si="62"/>
        <v>2023</v>
      </c>
      <c r="E997" s="5" t="str">
        <f t="shared" si="63"/>
        <v>Q4</v>
      </c>
      <c r="F997" s="5">
        <v>133.38000489999999</v>
      </c>
      <c r="G997" s="5">
        <v>133.72000120000001</v>
      </c>
      <c r="H997" s="5">
        <v>129.6900024</v>
      </c>
      <c r="I997" s="5">
        <v>131.9400024</v>
      </c>
      <c r="J997" s="5">
        <v>38722400</v>
      </c>
      <c r="K997" s="5">
        <v>131.46342469999999</v>
      </c>
    </row>
    <row r="998" spans="1:11" hidden="1">
      <c r="A998" s="4">
        <v>45278</v>
      </c>
      <c r="B998" s="5">
        <f t="shared" si="60"/>
        <v>18</v>
      </c>
      <c r="C998" s="5">
        <f t="shared" si="61"/>
        <v>12</v>
      </c>
      <c r="D998" s="5">
        <f t="shared" si="62"/>
        <v>2023</v>
      </c>
      <c r="E998" s="5" t="str">
        <f t="shared" si="63"/>
        <v>Q4</v>
      </c>
      <c r="F998" s="5">
        <v>131.61999510000001</v>
      </c>
      <c r="G998" s="5">
        <v>133.5099945</v>
      </c>
      <c r="H998" s="5">
        <v>131.17999270000001</v>
      </c>
      <c r="I998" s="5">
        <v>132.6000061</v>
      </c>
      <c r="J998" s="5">
        <v>50815200</v>
      </c>
      <c r="K998" s="5">
        <v>132.121048</v>
      </c>
    </row>
    <row r="999" spans="1:11" hidden="1">
      <c r="A999" s="4">
        <v>45279</v>
      </c>
      <c r="B999" s="5">
        <f t="shared" si="60"/>
        <v>19</v>
      </c>
      <c r="C999" s="5">
        <f t="shared" si="61"/>
        <v>12</v>
      </c>
      <c r="D999" s="5">
        <f t="shared" si="62"/>
        <v>2023</v>
      </c>
      <c r="E999" s="5" t="str">
        <f t="shared" si="63"/>
        <v>Q4</v>
      </c>
      <c r="F999" s="5">
        <v>132.63000489999999</v>
      </c>
      <c r="G999" s="5">
        <v>137.1499939</v>
      </c>
      <c r="H999" s="5">
        <v>132.42999270000001</v>
      </c>
      <c r="I999" s="5">
        <v>135.8000031</v>
      </c>
      <c r="J999" s="5">
        <v>32258000</v>
      </c>
      <c r="K999" s="5">
        <v>135.3095093</v>
      </c>
    </row>
    <row r="1000" spans="1:11" hidden="1">
      <c r="A1000" s="4">
        <v>45280</v>
      </c>
      <c r="B1000" s="5">
        <f t="shared" si="60"/>
        <v>20</v>
      </c>
      <c r="C1000" s="5">
        <f t="shared" si="61"/>
        <v>12</v>
      </c>
      <c r="D1000" s="5">
        <f t="shared" si="62"/>
        <v>2023</v>
      </c>
      <c r="E1000" s="5" t="str">
        <f t="shared" si="63"/>
        <v>Q4</v>
      </c>
      <c r="F1000" s="5">
        <v>136.8399963</v>
      </c>
      <c r="G1000" s="5">
        <v>137.47000120000001</v>
      </c>
      <c r="H1000" s="5">
        <v>136.08000179999999</v>
      </c>
      <c r="I1000" s="5">
        <v>136.6499939</v>
      </c>
      <c r="J1000" s="5">
        <v>25476800</v>
      </c>
      <c r="K1000" s="5">
        <v>136.15641780000001</v>
      </c>
    </row>
    <row r="1001" spans="1:11" hidden="1">
      <c r="A1001" s="4">
        <v>45281</v>
      </c>
      <c r="B1001" s="5">
        <f t="shared" si="60"/>
        <v>21</v>
      </c>
      <c r="C1001" s="5">
        <f t="shared" si="61"/>
        <v>12</v>
      </c>
      <c r="D1001" s="5">
        <f t="shared" si="62"/>
        <v>2023</v>
      </c>
      <c r="E1001" s="5" t="str">
        <f t="shared" si="63"/>
        <v>Q4</v>
      </c>
      <c r="F1001" s="5">
        <v>138.97000120000001</v>
      </c>
      <c r="G1001" s="5">
        <v>141.6999969</v>
      </c>
      <c r="H1001" s="5">
        <v>138.07000729999999</v>
      </c>
      <c r="I1001" s="5">
        <v>138.3399963</v>
      </c>
      <c r="J1001" s="5">
        <v>49107200</v>
      </c>
      <c r="K1001" s="5">
        <v>137.84030150000001</v>
      </c>
    </row>
    <row r="1002" spans="1:11" hidden="1">
      <c r="A1002" s="4">
        <v>45282</v>
      </c>
      <c r="B1002" s="5">
        <f t="shared" si="60"/>
        <v>22</v>
      </c>
      <c r="C1002" s="5">
        <f t="shared" si="61"/>
        <v>12</v>
      </c>
      <c r="D1002" s="5">
        <f t="shared" si="62"/>
        <v>2023</v>
      </c>
      <c r="E1002" s="5" t="str">
        <f t="shared" si="63"/>
        <v>Q4</v>
      </c>
      <c r="F1002" s="5">
        <v>139.4900055</v>
      </c>
      <c r="G1002" s="5">
        <v>140.6900024</v>
      </c>
      <c r="H1002" s="5">
        <v>139.17999270000001</v>
      </c>
      <c r="I1002" s="5">
        <v>140.41999820000001</v>
      </c>
      <c r="J1002" s="5">
        <v>27488300</v>
      </c>
      <c r="K1002" s="5">
        <v>139.91279599999999</v>
      </c>
    </row>
    <row r="1003" spans="1:11" hidden="1">
      <c r="A1003" s="4">
        <v>45286</v>
      </c>
      <c r="B1003" s="5">
        <f t="shared" si="60"/>
        <v>26</v>
      </c>
      <c r="C1003" s="5">
        <f t="shared" si="61"/>
        <v>12</v>
      </c>
      <c r="D1003" s="5">
        <f t="shared" si="62"/>
        <v>2023</v>
      </c>
      <c r="E1003" s="5" t="str">
        <f t="shared" si="63"/>
        <v>Q4</v>
      </c>
      <c r="F1003" s="5">
        <v>140.77000430000001</v>
      </c>
      <c r="G1003" s="5">
        <v>141.9900055</v>
      </c>
      <c r="H1003" s="5">
        <v>140.71000670000001</v>
      </c>
      <c r="I1003" s="5">
        <v>141.4900055</v>
      </c>
      <c r="J1003" s="5">
        <v>26514600</v>
      </c>
      <c r="K1003" s="5">
        <v>140.97894289999999</v>
      </c>
    </row>
    <row r="1004" spans="1:11" hidden="1">
      <c r="A1004" s="4">
        <v>45287</v>
      </c>
      <c r="B1004" s="5">
        <f t="shared" si="60"/>
        <v>27</v>
      </c>
      <c r="C1004" s="5">
        <f t="shared" si="61"/>
        <v>12</v>
      </c>
      <c r="D1004" s="5">
        <f t="shared" si="62"/>
        <v>2023</v>
      </c>
      <c r="E1004" s="5" t="str">
        <f t="shared" si="63"/>
        <v>Q4</v>
      </c>
      <c r="F1004" s="5">
        <v>141.5899963</v>
      </c>
      <c r="G1004" s="5">
        <v>142.67999270000001</v>
      </c>
      <c r="H1004" s="5">
        <v>141.1900024</v>
      </c>
      <c r="I1004" s="5">
        <v>141.52000430000001</v>
      </c>
      <c r="J1004" s="5">
        <v>16780300</v>
      </c>
      <c r="K1004" s="5">
        <v>141.00883479999999</v>
      </c>
    </row>
    <row r="1005" spans="1:11" hidden="1">
      <c r="A1005" s="4">
        <v>45288</v>
      </c>
      <c r="B1005" s="5">
        <f t="shared" si="60"/>
        <v>28</v>
      </c>
      <c r="C1005" s="5">
        <f t="shared" si="61"/>
        <v>12</v>
      </c>
      <c r="D1005" s="5">
        <f t="shared" si="62"/>
        <v>2023</v>
      </c>
      <c r="E1005" s="5" t="str">
        <f t="shared" si="63"/>
        <v>Q4</v>
      </c>
      <c r="F1005" s="5">
        <v>141.5899963</v>
      </c>
      <c r="G1005" s="5">
        <v>142.08000179999999</v>
      </c>
      <c r="H1005" s="5">
        <v>139.88999939999999</v>
      </c>
      <c r="I1005" s="5">
        <v>140.36999510000001</v>
      </c>
      <c r="J1005" s="5">
        <v>19628600</v>
      </c>
      <c r="K1005" s="5">
        <v>139.8629761</v>
      </c>
    </row>
    <row r="1006" spans="1:11" hidden="1">
      <c r="A1006" s="4">
        <v>45289</v>
      </c>
      <c r="B1006" s="5">
        <f t="shared" si="60"/>
        <v>29</v>
      </c>
      <c r="C1006" s="5">
        <f t="shared" si="61"/>
        <v>12</v>
      </c>
      <c r="D1006" s="5">
        <f t="shared" si="62"/>
        <v>2023</v>
      </c>
      <c r="E1006" s="5" t="str">
        <f t="shared" si="63"/>
        <v>Q4</v>
      </c>
      <c r="F1006" s="5">
        <v>140.77999879999999</v>
      </c>
      <c r="G1006" s="5">
        <v>141.13999939999999</v>
      </c>
      <c r="H1006" s="5">
        <v>139.75</v>
      </c>
      <c r="I1006" s="5">
        <v>140.22999569999999</v>
      </c>
      <c r="J1006" s="5">
        <v>16045700</v>
      </c>
      <c r="K1006" s="5">
        <v>139.72348020000001</v>
      </c>
    </row>
    <row r="1007" spans="1:11">
      <c r="A1007" s="4">
        <v>45293</v>
      </c>
      <c r="B1007" s="5">
        <f t="shared" si="60"/>
        <v>2</v>
      </c>
      <c r="C1007" s="5">
        <f t="shared" si="61"/>
        <v>1</v>
      </c>
      <c r="D1007" s="5">
        <f t="shared" si="62"/>
        <v>2024</v>
      </c>
      <c r="E1007" s="5" t="str">
        <f t="shared" si="63"/>
        <v>Q1</v>
      </c>
      <c r="F1007" s="5">
        <v>139.63000489999999</v>
      </c>
      <c r="G1007" s="5">
        <v>140.36000060000001</v>
      </c>
      <c r="H1007" s="5">
        <v>138.77999879999999</v>
      </c>
      <c r="I1007" s="5">
        <v>139.6900024</v>
      </c>
      <c r="J1007" s="5">
        <v>18727200</v>
      </c>
      <c r="K1007" s="5">
        <v>139.18544009999999</v>
      </c>
    </row>
    <row r="1008" spans="1:11">
      <c r="A1008" s="4">
        <v>45294</v>
      </c>
      <c r="B1008" s="5">
        <f t="shared" si="60"/>
        <v>3</v>
      </c>
      <c r="C1008" s="5">
        <f t="shared" si="61"/>
        <v>1</v>
      </c>
      <c r="D1008" s="5">
        <f t="shared" si="62"/>
        <v>2024</v>
      </c>
      <c r="E1008" s="5" t="str">
        <f t="shared" si="63"/>
        <v>Q1</v>
      </c>
      <c r="F1008" s="5">
        <v>138.5500031</v>
      </c>
      <c r="G1008" s="5">
        <v>139.4499969</v>
      </c>
      <c r="H1008" s="5">
        <v>136.47999569999999</v>
      </c>
      <c r="I1008" s="5">
        <v>138.16999820000001</v>
      </c>
      <c r="J1008" s="5">
        <v>23711200</v>
      </c>
      <c r="K1008" s="5">
        <v>137.670929</v>
      </c>
    </row>
    <row r="1009" spans="1:11">
      <c r="A1009" s="4">
        <v>45295</v>
      </c>
      <c r="B1009" s="5">
        <f t="shared" si="60"/>
        <v>4</v>
      </c>
      <c r="C1009" s="5">
        <f t="shared" si="61"/>
        <v>1</v>
      </c>
      <c r="D1009" s="5">
        <f t="shared" si="62"/>
        <v>2024</v>
      </c>
      <c r="E1009" s="5" t="str">
        <f t="shared" si="63"/>
        <v>Q1</v>
      </c>
      <c r="F1009" s="5">
        <v>137.25</v>
      </c>
      <c r="G1009" s="5">
        <v>139.63000489999999</v>
      </c>
      <c r="H1009" s="5">
        <v>137.08000179999999</v>
      </c>
      <c r="I1009" s="5">
        <v>138.91999820000001</v>
      </c>
      <c r="J1009" s="5">
        <v>24212100</v>
      </c>
      <c r="K1009" s="5">
        <v>138.41822809999999</v>
      </c>
    </row>
    <row r="1010" spans="1:11">
      <c r="A1010" s="4">
        <v>45296</v>
      </c>
      <c r="B1010" s="5">
        <f t="shared" si="60"/>
        <v>5</v>
      </c>
      <c r="C1010" s="5">
        <f t="shared" si="61"/>
        <v>1</v>
      </c>
      <c r="D1010" s="5">
        <f t="shared" si="62"/>
        <v>2024</v>
      </c>
      <c r="E1010" s="5" t="str">
        <f t="shared" si="63"/>
        <v>Q1</v>
      </c>
      <c r="F1010" s="5">
        <v>138.41999820000001</v>
      </c>
      <c r="G1010" s="5">
        <v>139.1600037</v>
      </c>
      <c r="H1010" s="5">
        <v>136.3500061</v>
      </c>
      <c r="I1010" s="5">
        <v>136.38999939999999</v>
      </c>
      <c r="J1010" s="5">
        <v>27137700</v>
      </c>
      <c r="K1010" s="5">
        <v>135.8973541</v>
      </c>
    </row>
    <row r="1011" spans="1:11">
      <c r="A1011" s="4">
        <v>45299</v>
      </c>
      <c r="B1011" s="5">
        <f t="shared" si="60"/>
        <v>8</v>
      </c>
      <c r="C1011" s="5">
        <f t="shared" si="61"/>
        <v>1</v>
      </c>
      <c r="D1011" s="5">
        <f t="shared" si="62"/>
        <v>2024</v>
      </c>
      <c r="E1011" s="5" t="str">
        <f t="shared" si="63"/>
        <v>Q1</v>
      </c>
      <c r="F1011" s="5">
        <v>136.75</v>
      </c>
      <c r="G1011" s="5">
        <v>137.1600037</v>
      </c>
      <c r="H1011" s="5">
        <v>135.1499939</v>
      </c>
      <c r="I1011" s="5">
        <v>135.72999569999999</v>
      </c>
      <c r="J1011" s="5">
        <v>22506000</v>
      </c>
      <c r="K1011" s="5">
        <v>135.23974609999999</v>
      </c>
    </row>
    <row r="1012" spans="1:11">
      <c r="A1012" s="4">
        <v>45300</v>
      </c>
      <c r="B1012" s="5">
        <f t="shared" si="60"/>
        <v>9</v>
      </c>
      <c r="C1012" s="5">
        <f t="shared" si="61"/>
        <v>1</v>
      </c>
      <c r="D1012" s="5">
        <f t="shared" si="62"/>
        <v>2024</v>
      </c>
      <c r="E1012" s="5" t="str">
        <f t="shared" si="63"/>
        <v>Q1</v>
      </c>
      <c r="F1012" s="5">
        <v>136.28999329999999</v>
      </c>
      <c r="G1012" s="5">
        <v>139.0099945</v>
      </c>
      <c r="H1012" s="5">
        <v>136.2599945</v>
      </c>
      <c r="I1012" s="5">
        <v>138.8399963</v>
      </c>
      <c r="J1012" s="5">
        <v>21404000</v>
      </c>
      <c r="K1012" s="5">
        <v>138.33851619999999</v>
      </c>
    </row>
    <row r="1013" spans="1:11">
      <c r="A1013" s="4">
        <v>45301</v>
      </c>
      <c r="B1013" s="5">
        <f t="shared" si="60"/>
        <v>10</v>
      </c>
      <c r="C1013" s="5">
        <f t="shared" si="61"/>
        <v>1</v>
      </c>
      <c r="D1013" s="5">
        <f t="shared" si="62"/>
        <v>2024</v>
      </c>
      <c r="E1013" s="5" t="str">
        <f t="shared" si="63"/>
        <v>Q1</v>
      </c>
      <c r="F1013" s="5">
        <v>138.5</v>
      </c>
      <c r="G1013" s="5">
        <v>141.4900055</v>
      </c>
      <c r="H1013" s="5">
        <v>138.1499939</v>
      </c>
      <c r="I1013" s="5">
        <v>140.9499969</v>
      </c>
      <c r="J1013" s="5">
        <v>24759600</v>
      </c>
      <c r="K1013" s="5">
        <v>140.4408875</v>
      </c>
    </row>
    <row r="1014" spans="1:11">
      <c r="A1014" s="4">
        <v>45302</v>
      </c>
      <c r="B1014" s="5">
        <f t="shared" si="60"/>
        <v>11</v>
      </c>
      <c r="C1014" s="5">
        <f t="shared" si="61"/>
        <v>1</v>
      </c>
      <c r="D1014" s="5">
        <f t="shared" si="62"/>
        <v>2024</v>
      </c>
      <c r="E1014" s="5" t="str">
        <f t="shared" si="63"/>
        <v>Q1</v>
      </c>
      <c r="F1014" s="5">
        <v>141</v>
      </c>
      <c r="G1014" s="5">
        <v>143</v>
      </c>
      <c r="H1014" s="5">
        <v>140.9100037</v>
      </c>
      <c r="I1014" s="5">
        <v>142.27999879999999</v>
      </c>
      <c r="J1014" s="5">
        <v>21320200</v>
      </c>
      <c r="K1014" s="5">
        <v>141.76608279999999</v>
      </c>
    </row>
    <row r="1015" spans="1:11">
      <c r="A1015" s="4">
        <v>45303</v>
      </c>
      <c r="B1015" s="5">
        <f t="shared" si="60"/>
        <v>12</v>
      </c>
      <c r="C1015" s="5">
        <f t="shared" si="61"/>
        <v>1</v>
      </c>
      <c r="D1015" s="5">
        <f t="shared" si="62"/>
        <v>2024</v>
      </c>
      <c r="E1015" s="5" t="str">
        <f t="shared" si="63"/>
        <v>Q1</v>
      </c>
      <c r="F1015" s="5">
        <v>143.4900055</v>
      </c>
      <c r="G1015" s="5">
        <v>145.22000120000001</v>
      </c>
      <c r="H1015" s="5">
        <v>140.63999939999999</v>
      </c>
      <c r="I1015" s="5">
        <v>142.08000179999999</v>
      </c>
      <c r="J1015" s="5">
        <v>24008700</v>
      </c>
      <c r="K1015" s="5">
        <v>141.5668182</v>
      </c>
    </row>
    <row r="1016" spans="1:11">
      <c r="A1016" s="4">
        <v>45307</v>
      </c>
      <c r="B1016" s="5">
        <f t="shared" si="60"/>
        <v>16</v>
      </c>
      <c r="C1016" s="5">
        <f t="shared" si="61"/>
        <v>1</v>
      </c>
      <c r="D1016" s="5">
        <f t="shared" si="62"/>
        <v>2024</v>
      </c>
      <c r="E1016" s="5" t="str">
        <f t="shared" si="63"/>
        <v>Q1</v>
      </c>
      <c r="F1016" s="5">
        <v>142.66999820000001</v>
      </c>
      <c r="G1016" s="5">
        <v>143.1999969</v>
      </c>
      <c r="H1016" s="5">
        <v>141.82000729999999</v>
      </c>
      <c r="I1016" s="5">
        <v>142.6499939</v>
      </c>
      <c r="J1016" s="5">
        <v>18768600</v>
      </c>
      <c r="K1016" s="5">
        <v>142.1347351</v>
      </c>
    </row>
    <row r="1017" spans="1:11">
      <c r="A1017" s="4">
        <v>45308</v>
      </c>
      <c r="B1017" s="5">
        <f t="shared" si="60"/>
        <v>17</v>
      </c>
      <c r="C1017" s="5">
        <f t="shared" si="61"/>
        <v>1</v>
      </c>
      <c r="D1017" s="5">
        <f t="shared" si="62"/>
        <v>2024</v>
      </c>
      <c r="E1017" s="5" t="str">
        <f t="shared" si="63"/>
        <v>Q1</v>
      </c>
      <c r="F1017" s="5">
        <v>142</v>
      </c>
      <c r="G1017" s="5">
        <v>144.3500061</v>
      </c>
      <c r="H1017" s="5">
        <v>141.4499969</v>
      </c>
      <c r="I1017" s="5">
        <v>142.4900055</v>
      </c>
      <c r="J1017" s="5">
        <v>22670500</v>
      </c>
      <c r="K1017" s="5">
        <v>141.97532649999999</v>
      </c>
    </row>
    <row r="1018" spans="1:11">
      <c r="A1018" s="4">
        <v>45309</v>
      </c>
      <c r="B1018" s="5">
        <f t="shared" si="60"/>
        <v>18</v>
      </c>
      <c r="C1018" s="5">
        <f t="shared" si="61"/>
        <v>1</v>
      </c>
      <c r="D1018" s="5">
        <f t="shared" si="62"/>
        <v>2024</v>
      </c>
      <c r="E1018" s="5" t="str">
        <f t="shared" si="63"/>
        <v>Q1</v>
      </c>
      <c r="F1018" s="5">
        <v>141.3500061</v>
      </c>
      <c r="G1018" s="5">
        <v>141.8399963</v>
      </c>
      <c r="H1018" s="5">
        <v>138.8999939</v>
      </c>
      <c r="I1018" s="5">
        <v>141.47000120000001</v>
      </c>
      <c r="J1018" s="5">
        <v>20968600</v>
      </c>
      <c r="K1018" s="5">
        <v>140.9590149</v>
      </c>
    </row>
    <row r="1019" spans="1:11">
      <c r="A1019" s="4">
        <v>45310</v>
      </c>
      <c r="B1019" s="5">
        <f t="shared" si="60"/>
        <v>19</v>
      </c>
      <c r="C1019" s="5">
        <f t="shared" si="61"/>
        <v>1</v>
      </c>
      <c r="D1019" s="5">
        <f t="shared" si="62"/>
        <v>2024</v>
      </c>
      <c r="E1019" s="5" t="str">
        <f t="shared" si="63"/>
        <v>Q1</v>
      </c>
      <c r="F1019" s="5">
        <v>142.0500031</v>
      </c>
      <c r="G1019" s="5">
        <v>144.21000670000001</v>
      </c>
      <c r="H1019" s="5">
        <v>141.9900055</v>
      </c>
      <c r="I1019" s="5">
        <v>143.47999569999999</v>
      </c>
      <c r="J1019" s="5">
        <v>25746400</v>
      </c>
      <c r="K1019" s="5">
        <v>142.96174619999999</v>
      </c>
    </row>
    <row r="1020" spans="1:11">
      <c r="A1020" s="4">
        <v>45313</v>
      </c>
      <c r="B1020" s="5">
        <f t="shared" si="60"/>
        <v>22</v>
      </c>
      <c r="C1020" s="5">
        <f t="shared" si="61"/>
        <v>1</v>
      </c>
      <c r="D1020" s="5">
        <f t="shared" si="62"/>
        <v>2024</v>
      </c>
      <c r="E1020" s="5" t="str">
        <f t="shared" si="63"/>
        <v>Q1</v>
      </c>
      <c r="F1020" s="5">
        <v>144.7400055</v>
      </c>
      <c r="G1020" s="5">
        <v>146.4499969</v>
      </c>
      <c r="H1020" s="5">
        <v>144.38000489999999</v>
      </c>
      <c r="I1020" s="5">
        <v>146.38000489999999</v>
      </c>
      <c r="J1020" s="5">
        <v>33300700</v>
      </c>
      <c r="K1020" s="5">
        <v>145.85128779999999</v>
      </c>
    </row>
    <row r="1021" spans="1:11">
      <c r="A1021" s="4">
        <v>45314</v>
      </c>
      <c r="B1021" s="5">
        <f t="shared" si="60"/>
        <v>23</v>
      </c>
      <c r="C1021" s="5">
        <f t="shared" si="61"/>
        <v>1</v>
      </c>
      <c r="D1021" s="5">
        <f t="shared" si="62"/>
        <v>2024</v>
      </c>
      <c r="E1021" s="5" t="str">
        <f t="shared" si="63"/>
        <v>Q1</v>
      </c>
      <c r="F1021" s="5">
        <v>147.1000061</v>
      </c>
      <c r="G1021" s="5">
        <v>148.38999939999999</v>
      </c>
      <c r="H1021" s="5">
        <v>145.8399963</v>
      </c>
      <c r="I1021" s="5">
        <v>145.9900055</v>
      </c>
      <c r="J1021" s="5">
        <v>32200400</v>
      </c>
      <c r="K1021" s="5">
        <v>145.46269229999999</v>
      </c>
    </row>
    <row r="1022" spans="1:11">
      <c r="A1022" s="4">
        <v>45315</v>
      </c>
      <c r="B1022" s="5">
        <f t="shared" si="60"/>
        <v>24</v>
      </c>
      <c r="C1022" s="5">
        <f t="shared" si="61"/>
        <v>1</v>
      </c>
      <c r="D1022" s="5">
        <f t="shared" si="62"/>
        <v>2024</v>
      </c>
      <c r="E1022" s="5" t="str">
        <f t="shared" si="63"/>
        <v>Q1</v>
      </c>
      <c r="F1022" s="5">
        <v>145.88999939999999</v>
      </c>
      <c r="G1022" s="5">
        <v>147.17999270000001</v>
      </c>
      <c r="H1022" s="5">
        <v>145.5</v>
      </c>
      <c r="I1022" s="5">
        <v>147.03999329999999</v>
      </c>
      <c r="J1022" s="5">
        <v>21636100</v>
      </c>
      <c r="K1022" s="5">
        <v>146.5088959</v>
      </c>
    </row>
    <row r="1023" spans="1:11">
      <c r="A1023" s="4">
        <v>45316</v>
      </c>
      <c r="B1023" s="5">
        <f t="shared" si="60"/>
        <v>25</v>
      </c>
      <c r="C1023" s="5">
        <f t="shared" si="61"/>
        <v>1</v>
      </c>
      <c r="D1023" s="5">
        <f t="shared" si="62"/>
        <v>2024</v>
      </c>
      <c r="E1023" s="5" t="str">
        <f t="shared" si="63"/>
        <v>Q1</v>
      </c>
      <c r="F1023" s="5">
        <v>148.53999329999999</v>
      </c>
      <c r="G1023" s="5">
        <v>149.8500061</v>
      </c>
      <c r="H1023" s="5">
        <v>148.1000061</v>
      </c>
      <c r="I1023" s="5">
        <v>148.6999969</v>
      </c>
      <c r="J1023" s="5">
        <v>25233500</v>
      </c>
      <c r="K1023" s="5">
        <v>148.16290280000001</v>
      </c>
    </row>
    <row r="1024" spans="1:11">
      <c r="A1024" s="4">
        <v>45317</v>
      </c>
      <c r="B1024" s="5">
        <f t="shared" si="60"/>
        <v>26</v>
      </c>
      <c r="C1024" s="5">
        <f t="shared" si="61"/>
        <v>1</v>
      </c>
      <c r="D1024" s="5">
        <f t="shared" si="62"/>
        <v>2024</v>
      </c>
      <c r="E1024" s="5" t="str">
        <f t="shared" si="63"/>
        <v>Q1</v>
      </c>
      <c r="F1024" s="5">
        <v>150.07000729999999</v>
      </c>
      <c r="G1024" s="5">
        <v>153.0500031</v>
      </c>
      <c r="H1024" s="5">
        <v>149.53999329999999</v>
      </c>
      <c r="I1024" s="5">
        <v>151.86999510000001</v>
      </c>
      <c r="J1024" s="5">
        <v>29149100</v>
      </c>
      <c r="K1024" s="5">
        <v>151.32144170000001</v>
      </c>
    </row>
    <row r="1025" spans="1:11">
      <c r="A1025" s="4">
        <v>45320</v>
      </c>
      <c r="B1025" s="5">
        <f t="shared" si="60"/>
        <v>29</v>
      </c>
      <c r="C1025" s="5">
        <f t="shared" si="61"/>
        <v>1</v>
      </c>
      <c r="D1025" s="5">
        <f t="shared" si="62"/>
        <v>2024</v>
      </c>
      <c r="E1025" s="5" t="str">
        <f t="shared" si="63"/>
        <v>Q1</v>
      </c>
      <c r="F1025" s="5">
        <v>151.1000061</v>
      </c>
      <c r="G1025" s="5">
        <v>152.53999329999999</v>
      </c>
      <c r="H1025" s="5">
        <v>151.0099945</v>
      </c>
      <c r="I1025" s="5">
        <v>152.1900024</v>
      </c>
      <c r="J1025" s="5">
        <v>26115500</v>
      </c>
      <c r="K1025" s="5">
        <v>151.64028930000001</v>
      </c>
    </row>
    <row r="1026" spans="1:11">
      <c r="A1026" s="4">
        <v>45321</v>
      </c>
      <c r="B1026" s="5">
        <f t="shared" ref="B1026:B1089" si="64">DAY(A1026)</f>
        <v>30</v>
      </c>
      <c r="C1026" s="5">
        <f t="shared" ref="C1026:C1089" si="65">MONTH(A1026)</f>
        <v>1</v>
      </c>
      <c r="D1026" s="5">
        <f t="shared" ref="D1026:D1089" si="66">YEAR(A1026)</f>
        <v>2024</v>
      </c>
      <c r="E1026" s="5" t="str">
        <f t="shared" ref="E1026:E1089" si="67">"Q"&amp;ROUNDUP(MONTH(A1026)/3,0)</f>
        <v>Q1</v>
      </c>
      <c r="F1026" s="5">
        <v>152.0599976</v>
      </c>
      <c r="G1026" s="5">
        <v>153.77999879999999</v>
      </c>
      <c r="H1026" s="5">
        <v>151.42999270000001</v>
      </c>
      <c r="I1026" s="5">
        <v>153.5099945</v>
      </c>
      <c r="J1026" s="5">
        <v>27784300</v>
      </c>
      <c r="K1026" s="5">
        <v>152.95550539999999</v>
      </c>
    </row>
    <row r="1027" spans="1:11">
      <c r="A1027" s="4">
        <v>45322</v>
      </c>
      <c r="B1027" s="5">
        <f t="shared" si="64"/>
        <v>31</v>
      </c>
      <c r="C1027" s="5">
        <f t="shared" si="65"/>
        <v>1</v>
      </c>
      <c r="D1027" s="5">
        <f t="shared" si="66"/>
        <v>2024</v>
      </c>
      <c r="E1027" s="5" t="str">
        <f t="shared" si="67"/>
        <v>Q1</v>
      </c>
      <c r="F1027" s="5">
        <v>152.8000031</v>
      </c>
      <c r="G1027" s="5">
        <v>153.61999510000001</v>
      </c>
      <c r="H1027" s="5">
        <v>151.1900024</v>
      </c>
      <c r="I1027" s="5">
        <v>151.46000670000001</v>
      </c>
      <c r="J1027" s="5">
        <v>36331800</v>
      </c>
      <c r="K1027" s="5">
        <v>150.91293329999999</v>
      </c>
    </row>
    <row r="1028" spans="1:11">
      <c r="A1028" s="4">
        <v>45323</v>
      </c>
      <c r="B1028" s="5">
        <f t="shared" si="64"/>
        <v>1</v>
      </c>
      <c r="C1028" s="5">
        <f t="shared" si="65"/>
        <v>2</v>
      </c>
      <c r="D1028" s="5">
        <f t="shared" si="66"/>
        <v>2024</v>
      </c>
      <c r="E1028" s="5" t="str">
        <f t="shared" si="67"/>
        <v>Q1</v>
      </c>
      <c r="F1028" s="5">
        <v>143.61999510000001</v>
      </c>
      <c r="G1028" s="5">
        <v>144</v>
      </c>
      <c r="H1028" s="5">
        <v>139.86999510000001</v>
      </c>
      <c r="I1028" s="5">
        <v>140.1000061</v>
      </c>
      <c r="J1028" s="5">
        <v>71910000</v>
      </c>
      <c r="K1028" s="5">
        <v>139.5939636</v>
      </c>
    </row>
    <row r="1029" spans="1:11">
      <c r="A1029" s="4">
        <v>45324</v>
      </c>
      <c r="B1029" s="5">
        <f t="shared" si="64"/>
        <v>2</v>
      </c>
      <c r="C1029" s="5">
        <f t="shared" si="65"/>
        <v>2</v>
      </c>
      <c r="D1029" s="5">
        <f t="shared" si="66"/>
        <v>2024</v>
      </c>
      <c r="E1029" s="5" t="str">
        <f t="shared" si="67"/>
        <v>Q1</v>
      </c>
      <c r="F1029" s="5">
        <v>142.11999510000001</v>
      </c>
      <c r="G1029" s="5">
        <v>143.0599976</v>
      </c>
      <c r="H1029" s="5">
        <v>140.78999329999999</v>
      </c>
      <c r="I1029" s="5">
        <v>141.1600037</v>
      </c>
      <c r="J1029" s="5">
        <v>40466500</v>
      </c>
      <c r="K1029" s="5">
        <v>140.65014650000001</v>
      </c>
    </row>
    <row r="1030" spans="1:11">
      <c r="A1030" s="4">
        <v>45327</v>
      </c>
      <c r="B1030" s="5">
        <f t="shared" si="64"/>
        <v>5</v>
      </c>
      <c r="C1030" s="5">
        <f t="shared" si="65"/>
        <v>2</v>
      </c>
      <c r="D1030" s="5">
        <f t="shared" si="66"/>
        <v>2024</v>
      </c>
      <c r="E1030" s="5" t="str">
        <f t="shared" si="67"/>
        <v>Q1</v>
      </c>
      <c r="F1030" s="5">
        <v>139.2599945</v>
      </c>
      <c r="G1030" s="5">
        <v>142.61999510000001</v>
      </c>
      <c r="H1030" s="5">
        <v>136.5</v>
      </c>
      <c r="I1030" s="5">
        <v>142.38000489999999</v>
      </c>
      <c r="J1030" s="5">
        <v>62470600</v>
      </c>
      <c r="K1030" s="5">
        <v>141.8657379</v>
      </c>
    </row>
    <row r="1031" spans="1:11">
      <c r="A1031" s="4">
        <v>45328</v>
      </c>
      <c r="B1031" s="5">
        <f t="shared" si="64"/>
        <v>6</v>
      </c>
      <c r="C1031" s="5">
        <f t="shared" si="65"/>
        <v>2</v>
      </c>
      <c r="D1031" s="5">
        <f t="shared" si="66"/>
        <v>2024</v>
      </c>
      <c r="E1031" s="5" t="str">
        <f t="shared" si="67"/>
        <v>Q1</v>
      </c>
      <c r="F1031" s="5">
        <v>142.82000729999999</v>
      </c>
      <c r="G1031" s="5">
        <v>145.47000120000001</v>
      </c>
      <c r="H1031" s="5">
        <v>142.77999879999999</v>
      </c>
      <c r="I1031" s="5">
        <v>143.67999270000001</v>
      </c>
      <c r="J1031" s="5">
        <v>38505400</v>
      </c>
      <c r="K1031" s="5">
        <v>143.16102599999999</v>
      </c>
    </row>
    <row r="1032" spans="1:11">
      <c r="A1032" s="4">
        <v>45329</v>
      </c>
      <c r="B1032" s="5">
        <f t="shared" si="64"/>
        <v>7</v>
      </c>
      <c r="C1032" s="5">
        <f t="shared" si="65"/>
        <v>2</v>
      </c>
      <c r="D1032" s="5">
        <f t="shared" si="66"/>
        <v>2024</v>
      </c>
      <c r="E1032" s="5" t="str">
        <f t="shared" si="67"/>
        <v>Q1</v>
      </c>
      <c r="F1032" s="5">
        <v>144.6499939</v>
      </c>
      <c r="G1032" s="5">
        <v>145.36000060000001</v>
      </c>
      <c r="H1032" s="5">
        <v>143.1900024</v>
      </c>
      <c r="I1032" s="5">
        <v>144.1000061</v>
      </c>
      <c r="J1032" s="5">
        <v>29128200</v>
      </c>
      <c r="K1032" s="5">
        <v>143.57952879999999</v>
      </c>
    </row>
    <row r="1033" spans="1:11">
      <c r="A1033" s="4">
        <v>45330</v>
      </c>
      <c r="B1033" s="5">
        <f t="shared" si="64"/>
        <v>8</v>
      </c>
      <c r="C1033" s="5">
        <f t="shared" si="65"/>
        <v>2</v>
      </c>
      <c r="D1033" s="5">
        <f t="shared" si="66"/>
        <v>2024</v>
      </c>
      <c r="E1033" s="5" t="str">
        <f t="shared" si="67"/>
        <v>Q1</v>
      </c>
      <c r="F1033" s="5">
        <v>144.7599945</v>
      </c>
      <c r="G1033" s="5">
        <v>145.61999510000001</v>
      </c>
      <c r="H1033" s="5">
        <v>143.92999270000001</v>
      </c>
      <c r="I1033" s="5">
        <v>145.53999329999999</v>
      </c>
      <c r="J1033" s="5">
        <v>25208900</v>
      </c>
      <c r="K1033" s="5">
        <v>145.0143127</v>
      </c>
    </row>
    <row r="1034" spans="1:11">
      <c r="A1034" s="4">
        <v>45331</v>
      </c>
      <c r="B1034" s="5">
        <f t="shared" si="64"/>
        <v>9</v>
      </c>
      <c r="C1034" s="5">
        <f t="shared" si="65"/>
        <v>2</v>
      </c>
      <c r="D1034" s="5">
        <f t="shared" si="66"/>
        <v>2024</v>
      </c>
      <c r="E1034" s="5" t="str">
        <f t="shared" si="67"/>
        <v>Q1</v>
      </c>
      <c r="F1034" s="5">
        <v>145.83000179999999</v>
      </c>
      <c r="G1034" s="5">
        <v>146.33000179999999</v>
      </c>
      <c r="H1034" s="5">
        <v>145.1000061</v>
      </c>
      <c r="I1034" s="5">
        <v>145.9100037</v>
      </c>
      <c r="J1034" s="5">
        <v>22563800</v>
      </c>
      <c r="K1034" s="5">
        <v>145.38298030000001</v>
      </c>
    </row>
    <row r="1035" spans="1:11">
      <c r="A1035" s="4">
        <v>45334</v>
      </c>
      <c r="B1035" s="5">
        <f t="shared" si="64"/>
        <v>12</v>
      </c>
      <c r="C1035" s="5">
        <f t="shared" si="65"/>
        <v>2</v>
      </c>
      <c r="D1035" s="5">
        <f t="shared" si="66"/>
        <v>2024</v>
      </c>
      <c r="E1035" s="5" t="str">
        <f t="shared" si="67"/>
        <v>Q1</v>
      </c>
      <c r="F1035" s="5">
        <v>146.67999270000001</v>
      </c>
      <c r="G1035" s="5">
        <v>149.4400024</v>
      </c>
      <c r="H1035" s="5">
        <v>146.17999270000001</v>
      </c>
      <c r="I1035" s="5">
        <v>149</v>
      </c>
      <c r="J1035" s="5">
        <v>26829500</v>
      </c>
      <c r="K1035" s="5">
        <v>148.46182250000001</v>
      </c>
    </row>
    <row r="1036" spans="1:11">
      <c r="A1036" s="4">
        <v>45335</v>
      </c>
      <c r="B1036" s="5">
        <f t="shared" si="64"/>
        <v>13</v>
      </c>
      <c r="C1036" s="5">
        <f t="shared" si="65"/>
        <v>2</v>
      </c>
      <c r="D1036" s="5">
        <f t="shared" si="66"/>
        <v>2024</v>
      </c>
      <c r="E1036" s="5" t="str">
        <f t="shared" si="67"/>
        <v>Q1</v>
      </c>
      <c r="F1036" s="5">
        <v>148.41999820000001</v>
      </c>
      <c r="G1036" s="5">
        <v>149.3399963</v>
      </c>
      <c r="H1036" s="5">
        <v>147.36999510000001</v>
      </c>
      <c r="I1036" s="5">
        <v>147.52999879999999</v>
      </c>
      <c r="J1036" s="5">
        <v>21564100</v>
      </c>
      <c r="K1036" s="5">
        <v>146.99713130000001</v>
      </c>
    </row>
    <row r="1037" spans="1:11">
      <c r="A1037" s="4">
        <v>45336</v>
      </c>
      <c r="B1037" s="5">
        <f t="shared" si="64"/>
        <v>14</v>
      </c>
      <c r="C1037" s="5">
        <f t="shared" si="65"/>
        <v>2</v>
      </c>
      <c r="D1037" s="5">
        <f t="shared" si="66"/>
        <v>2024</v>
      </c>
      <c r="E1037" s="5" t="str">
        <f t="shared" si="67"/>
        <v>Q1</v>
      </c>
      <c r="F1037" s="5">
        <v>144.91999820000001</v>
      </c>
      <c r="G1037" s="5">
        <v>146.66999820000001</v>
      </c>
      <c r="H1037" s="5">
        <v>143.6900024</v>
      </c>
      <c r="I1037" s="5">
        <v>145.13999939999999</v>
      </c>
      <c r="J1037" s="5">
        <v>27837700</v>
      </c>
      <c r="K1037" s="5">
        <v>144.6157532</v>
      </c>
    </row>
    <row r="1038" spans="1:11">
      <c r="A1038" s="4">
        <v>45337</v>
      </c>
      <c r="B1038" s="5">
        <f t="shared" si="64"/>
        <v>15</v>
      </c>
      <c r="C1038" s="5">
        <f t="shared" si="65"/>
        <v>2</v>
      </c>
      <c r="D1038" s="5">
        <f t="shared" si="66"/>
        <v>2024</v>
      </c>
      <c r="E1038" s="5" t="str">
        <f t="shared" si="67"/>
        <v>Q1</v>
      </c>
      <c r="F1038" s="5">
        <v>146.08000179999999</v>
      </c>
      <c r="G1038" s="5">
        <v>146.52000430000001</v>
      </c>
      <c r="H1038" s="5">
        <v>144.0899963</v>
      </c>
      <c r="I1038" s="5">
        <v>145.9400024</v>
      </c>
      <c r="J1038" s="5">
        <v>22704200</v>
      </c>
      <c r="K1038" s="5">
        <v>145.4128723</v>
      </c>
    </row>
    <row r="1039" spans="1:11">
      <c r="A1039" s="4">
        <v>45338</v>
      </c>
      <c r="B1039" s="5">
        <f t="shared" si="64"/>
        <v>16</v>
      </c>
      <c r="C1039" s="5">
        <f t="shared" si="65"/>
        <v>2</v>
      </c>
      <c r="D1039" s="5">
        <f t="shared" si="66"/>
        <v>2024</v>
      </c>
      <c r="E1039" s="5" t="str">
        <f t="shared" si="67"/>
        <v>Q1</v>
      </c>
      <c r="F1039" s="5">
        <v>143.13999939999999</v>
      </c>
      <c r="G1039" s="5">
        <v>143.52000430000001</v>
      </c>
      <c r="H1039" s="5">
        <v>140.46000670000001</v>
      </c>
      <c r="I1039" s="5">
        <v>142.77000430000001</v>
      </c>
      <c r="J1039" s="5">
        <v>37590700</v>
      </c>
      <c r="K1039" s="5">
        <v>142.2543182</v>
      </c>
    </row>
    <row r="1040" spans="1:11">
      <c r="A1040" s="4">
        <v>45342</v>
      </c>
      <c r="B1040" s="5">
        <f t="shared" si="64"/>
        <v>20</v>
      </c>
      <c r="C1040" s="5">
        <f t="shared" si="65"/>
        <v>2</v>
      </c>
      <c r="D1040" s="5">
        <f t="shared" si="66"/>
        <v>2024</v>
      </c>
      <c r="E1040" s="5" t="str">
        <f t="shared" si="67"/>
        <v>Q1</v>
      </c>
      <c r="F1040" s="5">
        <v>142.9900055</v>
      </c>
      <c r="G1040" s="5">
        <v>143.1900024</v>
      </c>
      <c r="H1040" s="5">
        <v>140.13999939999999</v>
      </c>
      <c r="I1040" s="5">
        <v>140.52000430000001</v>
      </c>
      <c r="J1040" s="5">
        <v>31451100</v>
      </c>
      <c r="K1040" s="5">
        <v>140.01245119999999</v>
      </c>
    </row>
    <row r="1041" spans="1:11">
      <c r="A1041" s="4">
        <v>45343</v>
      </c>
      <c r="B1041" s="5">
        <f t="shared" si="64"/>
        <v>21</v>
      </c>
      <c r="C1041" s="5">
        <f t="shared" si="65"/>
        <v>2</v>
      </c>
      <c r="D1041" s="5">
        <f t="shared" si="66"/>
        <v>2024</v>
      </c>
      <c r="E1041" s="5" t="str">
        <f t="shared" si="67"/>
        <v>Q1</v>
      </c>
      <c r="F1041" s="5">
        <v>139.6600037</v>
      </c>
      <c r="G1041" s="5">
        <v>142.08000179999999</v>
      </c>
      <c r="H1041" s="5">
        <v>139.4900055</v>
      </c>
      <c r="I1041" s="5">
        <v>141.11999510000001</v>
      </c>
      <c r="J1041" s="5">
        <v>25144700</v>
      </c>
      <c r="K1041" s="5">
        <v>140.61027530000001</v>
      </c>
    </row>
    <row r="1042" spans="1:11">
      <c r="A1042" s="4">
        <v>45344</v>
      </c>
      <c r="B1042" s="5">
        <f t="shared" si="64"/>
        <v>22</v>
      </c>
      <c r="C1042" s="5">
        <f t="shared" si="65"/>
        <v>2</v>
      </c>
      <c r="D1042" s="5">
        <f t="shared" si="66"/>
        <v>2024</v>
      </c>
      <c r="E1042" s="5" t="str">
        <f t="shared" si="67"/>
        <v>Q1</v>
      </c>
      <c r="F1042" s="5">
        <v>141.4499969</v>
      </c>
      <c r="G1042" s="5">
        <v>142.6900024</v>
      </c>
      <c r="H1042" s="5">
        <v>140.67999270000001</v>
      </c>
      <c r="I1042" s="5">
        <v>142.5500031</v>
      </c>
      <c r="J1042" s="5">
        <v>23315700</v>
      </c>
      <c r="K1042" s="5">
        <v>142.0351105</v>
      </c>
    </row>
    <row r="1043" spans="1:11">
      <c r="A1043" s="4">
        <v>45345</v>
      </c>
      <c r="B1043" s="5">
        <f t="shared" si="64"/>
        <v>23</v>
      </c>
      <c r="C1043" s="5">
        <f t="shared" si="65"/>
        <v>2</v>
      </c>
      <c r="D1043" s="5">
        <f t="shared" si="66"/>
        <v>2024</v>
      </c>
      <c r="E1043" s="5" t="str">
        <f t="shared" si="67"/>
        <v>Q1</v>
      </c>
      <c r="F1043" s="5">
        <v>144.92999270000001</v>
      </c>
      <c r="G1043" s="5">
        <v>145</v>
      </c>
      <c r="H1043" s="5">
        <v>142.8000031</v>
      </c>
      <c r="I1043" s="5">
        <v>144.0899963</v>
      </c>
      <c r="J1043" s="5">
        <v>27191900</v>
      </c>
      <c r="K1043" s="5">
        <v>143.56953429999999</v>
      </c>
    </row>
    <row r="1044" spans="1:11">
      <c r="A1044" s="4">
        <v>45348</v>
      </c>
      <c r="B1044" s="5">
        <f t="shared" si="64"/>
        <v>26</v>
      </c>
      <c r="C1044" s="5">
        <f t="shared" si="65"/>
        <v>2</v>
      </c>
      <c r="D1044" s="5">
        <f t="shared" si="66"/>
        <v>2024</v>
      </c>
      <c r="E1044" s="5" t="str">
        <f t="shared" si="67"/>
        <v>Q1</v>
      </c>
      <c r="F1044" s="5">
        <v>143.66999820000001</v>
      </c>
      <c r="G1044" s="5">
        <v>144.67999270000001</v>
      </c>
      <c r="H1044" s="5">
        <v>143.42999270000001</v>
      </c>
      <c r="I1044" s="5">
        <v>143.96000670000001</v>
      </c>
      <c r="J1044" s="5">
        <v>19493800</v>
      </c>
      <c r="K1044" s="5">
        <v>143.440033</v>
      </c>
    </row>
    <row r="1045" spans="1:11">
      <c r="A1045" s="4">
        <v>45349</v>
      </c>
      <c r="B1045" s="5">
        <f t="shared" si="64"/>
        <v>27</v>
      </c>
      <c r="C1045" s="5">
        <f t="shared" si="65"/>
        <v>2</v>
      </c>
      <c r="D1045" s="5">
        <f t="shared" si="66"/>
        <v>2024</v>
      </c>
      <c r="E1045" s="5" t="str">
        <f t="shared" si="67"/>
        <v>Q1</v>
      </c>
      <c r="F1045" s="5">
        <v>142.13999939999999</v>
      </c>
      <c r="G1045" s="5">
        <v>142.4400024</v>
      </c>
      <c r="H1045" s="5">
        <v>137.38999939999999</v>
      </c>
      <c r="I1045" s="5">
        <v>137.57000729999999</v>
      </c>
      <c r="J1045" s="5">
        <v>53641800</v>
      </c>
      <c r="K1045" s="5">
        <v>137.0731049</v>
      </c>
    </row>
    <row r="1046" spans="1:11">
      <c r="A1046" s="4">
        <v>45350</v>
      </c>
      <c r="B1046" s="5">
        <f t="shared" si="64"/>
        <v>28</v>
      </c>
      <c r="C1046" s="5">
        <f t="shared" si="65"/>
        <v>2</v>
      </c>
      <c r="D1046" s="5">
        <f t="shared" si="66"/>
        <v>2024</v>
      </c>
      <c r="E1046" s="5" t="str">
        <f t="shared" si="67"/>
        <v>Q1</v>
      </c>
      <c r="F1046" s="5">
        <v>138.02000430000001</v>
      </c>
      <c r="G1046" s="5">
        <v>139.25</v>
      </c>
      <c r="H1046" s="5">
        <v>137.0899963</v>
      </c>
      <c r="I1046" s="5">
        <v>138.88000489999999</v>
      </c>
      <c r="J1046" s="5">
        <v>33099200</v>
      </c>
      <c r="K1046" s="5">
        <v>138.3783722</v>
      </c>
    </row>
    <row r="1047" spans="1:11">
      <c r="A1047" s="4">
        <v>45351</v>
      </c>
      <c r="B1047" s="5">
        <f t="shared" si="64"/>
        <v>29</v>
      </c>
      <c r="C1047" s="5">
        <f t="shared" si="65"/>
        <v>2</v>
      </c>
      <c r="D1047" s="5">
        <f t="shared" si="66"/>
        <v>2024</v>
      </c>
      <c r="E1047" s="5" t="str">
        <f t="shared" si="67"/>
        <v>Q1</v>
      </c>
      <c r="F1047" s="5">
        <v>137.8999939</v>
      </c>
      <c r="G1047" s="5">
        <v>138.0099945</v>
      </c>
      <c r="H1047" s="5">
        <v>135.4100037</v>
      </c>
      <c r="I1047" s="5">
        <v>136.38000489999999</v>
      </c>
      <c r="J1047" s="5">
        <v>37328600</v>
      </c>
      <c r="K1047" s="5">
        <v>135.8873901</v>
      </c>
    </row>
    <row r="1048" spans="1:11">
      <c r="A1048" s="4">
        <v>45352</v>
      </c>
      <c r="B1048" s="5">
        <f t="shared" si="64"/>
        <v>1</v>
      </c>
      <c r="C1048" s="5">
        <f t="shared" si="65"/>
        <v>3</v>
      </c>
      <c r="D1048" s="5">
        <f t="shared" si="66"/>
        <v>2024</v>
      </c>
      <c r="E1048" s="5" t="str">
        <f t="shared" si="67"/>
        <v>Q1</v>
      </c>
      <c r="F1048" s="5">
        <v>137.27999879999999</v>
      </c>
      <c r="G1048" s="5">
        <v>138.86000060000001</v>
      </c>
      <c r="H1048" s="5">
        <v>136.3999939</v>
      </c>
      <c r="I1048" s="5">
        <v>138.46000670000001</v>
      </c>
      <c r="J1048" s="5">
        <v>42133000</v>
      </c>
      <c r="K1048" s="5">
        <v>137.95988460000001</v>
      </c>
    </row>
    <row r="1049" spans="1:11">
      <c r="A1049" s="4">
        <v>45355</v>
      </c>
      <c r="B1049" s="5">
        <f t="shared" si="64"/>
        <v>4</v>
      </c>
      <c r="C1049" s="5">
        <f t="shared" si="65"/>
        <v>3</v>
      </c>
      <c r="D1049" s="5">
        <f t="shared" si="66"/>
        <v>2024</v>
      </c>
      <c r="E1049" s="5" t="str">
        <f t="shared" si="67"/>
        <v>Q1</v>
      </c>
      <c r="F1049" s="5">
        <v>138.42999270000001</v>
      </c>
      <c r="G1049" s="5">
        <v>138.86999510000001</v>
      </c>
      <c r="H1049" s="5">
        <v>136.91999820000001</v>
      </c>
      <c r="I1049" s="5">
        <v>137.13999939999999</v>
      </c>
      <c r="J1049" s="5">
        <v>31119500</v>
      </c>
      <c r="K1049" s="5">
        <v>136.64463810000001</v>
      </c>
    </row>
    <row r="1050" spans="1:11">
      <c r="A1050" s="4">
        <v>45356</v>
      </c>
      <c r="B1050" s="5">
        <f t="shared" si="64"/>
        <v>5</v>
      </c>
      <c r="C1050" s="5">
        <f t="shared" si="65"/>
        <v>3</v>
      </c>
      <c r="D1050" s="5">
        <f t="shared" si="66"/>
        <v>2024</v>
      </c>
      <c r="E1050" s="5" t="str">
        <f t="shared" si="67"/>
        <v>Q1</v>
      </c>
      <c r="F1050" s="5">
        <v>135.6600037</v>
      </c>
      <c r="G1050" s="5">
        <v>135.6600037</v>
      </c>
      <c r="H1050" s="5">
        <v>131.9100037</v>
      </c>
      <c r="I1050" s="5">
        <v>133.3500061</v>
      </c>
      <c r="J1050" s="5">
        <v>55999400</v>
      </c>
      <c r="K1050" s="5">
        <v>132.86834719999999</v>
      </c>
    </row>
    <row r="1051" spans="1:11">
      <c r="A1051" s="4">
        <v>45357</v>
      </c>
      <c r="B1051" s="5">
        <f t="shared" si="64"/>
        <v>6</v>
      </c>
      <c r="C1051" s="5">
        <f t="shared" si="65"/>
        <v>3</v>
      </c>
      <c r="D1051" s="5">
        <f t="shared" si="66"/>
        <v>2024</v>
      </c>
      <c r="E1051" s="5" t="str">
        <f t="shared" si="67"/>
        <v>Q1</v>
      </c>
      <c r="F1051" s="5">
        <v>131.88000489999999</v>
      </c>
      <c r="G1051" s="5">
        <v>133.2400055</v>
      </c>
      <c r="H1051" s="5">
        <v>130.66999820000001</v>
      </c>
      <c r="I1051" s="5">
        <v>132.66999820000001</v>
      </c>
      <c r="J1051" s="5">
        <v>40194800</v>
      </c>
      <c r="K1051" s="5">
        <v>132.19079590000001</v>
      </c>
    </row>
    <row r="1052" spans="1:11">
      <c r="A1052" s="4">
        <v>45358</v>
      </c>
      <c r="B1052" s="5">
        <f t="shared" si="64"/>
        <v>7</v>
      </c>
      <c r="C1052" s="5">
        <f t="shared" si="65"/>
        <v>3</v>
      </c>
      <c r="D1052" s="5">
        <f t="shared" si="66"/>
        <v>2024</v>
      </c>
      <c r="E1052" s="5" t="str">
        <f t="shared" si="67"/>
        <v>Q1</v>
      </c>
      <c r="F1052" s="5">
        <v>133.11999510000001</v>
      </c>
      <c r="G1052" s="5">
        <v>133.58000179999999</v>
      </c>
      <c r="H1052" s="5">
        <v>130.8500061</v>
      </c>
      <c r="I1052" s="5">
        <v>131.3999939</v>
      </c>
      <c r="J1052" s="5">
        <v>35318600</v>
      </c>
      <c r="K1052" s="5">
        <v>130.9253693</v>
      </c>
    </row>
    <row r="1053" spans="1:11">
      <c r="A1053" s="4">
        <v>45359</v>
      </c>
      <c r="B1053" s="5">
        <f t="shared" si="64"/>
        <v>8</v>
      </c>
      <c r="C1053" s="5">
        <f t="shared" si="65"/>
        <v>3</v>
      </c>
      <c r="D1053" s="5">
        <f t="shared" si="66"/>
        <v>2024</v>
      </c>
      <c r="E1053" s="5" t="str">
        <f t="shared" si="67"/>
        <v>Q1</v>
      </c>
      <c r="F1053" s="5">
        <v>132.78999329999999</v>
      </c>
      <c r="G1053" s="5">
        <v>134.9400024</v>
      </c>
      <c r="H1053" s="5">
        <v>131.61000060000001</v>
      </c>
      <c r="I1053" s="5">
        <v>134.38000489999999</v>
      </c>
      <c r="J1053" s="5">
        <v>37738200</v>
      </c>
      <c r="K1053" s="5">
        <v>133.89462280000001</v>
      </c>
    </row>
    <row r="1054" spans="1:11">
      <c r="A1054" s="4">
        <v>45362</v>
      </c>
      <c r="B1054" s="5">
        <f t="shared" si="64"/>
        <v>11</v>
      </c>
      <c r="C1054" s="5">
        <f t="shared" si="65"/>
        <v>3</v>
      </c>
      <c r="D1054" s="5">
        <f t="shared" si="66"/>
        <v>2024</v>
      </c>
      <c r="E1054" s="5" t="str">
        <f t="shared" si="67"/>
        <v>Q1</v>
      </c>
      <c r="F1054" s="5">
        <v>134.21000670000001</v>
      </c>
      <c r="G1054" s="5">
        <v>138.0899963</v>
      </c>
      <c r="H1054" s="5">
        <v>134</v>
      </c>
      <c r="I1054" s="5">
        <v>135.4100037</v>
      </c>
      <c r="J1054" s="5">
        <v>39343100</v>
      </c>
      <c r="K1054" s="5">
        <v>134.9208984</v>
      </c>
    </row>
    <row r="1055" spans="1:11">
      <c r="A1055" s="4">
        <v>45363</v>
      </c>
      <c r="B1055" s="5">
        <f t="shared" si="64"/>
        <v>12</v>
      </c>
      <c r="C1055" s="5">
        <f t="shared" si="65"/>
        <v>3</v>
      </c>
      <c r="D1055" s="5">
        <f t="shared" si="66"/>
        <v>2024</v>
      </c>
      <c r="E1055" s="5" t="str">
        <f t="shared" si="67"/>
        <v>Q1</v>
      </c>
      <c r="F1055" s="5">
        <v>136.13000489999999</v>
      </c>
      <c r="G1055" s="5">
        <v>139.1000061</v>
      </c>
      <c r="H1055" s="5">
        <v>136.13000489999999</v>
      </c>
      <c r="I1055" s="5">
        <v>137.66999820000001</v>
      </c>
      <c r="J1055" s="5">
        <v>32437800</v>
      </c>
      <c r="K1055" s="5">
        <v>137.1727448</v>
      </c>
    </row>
    <row r="1056" spans="1:11">
      <c r="A1056" s="4">
        <v>45364</v>
      </c>
      <c r="B1056" s="5">
        <f t="shared" si="64"/>
        <v>13</v>
      </c>
      <c r="C1056" s="5">
        <f t="shared" si="65"/>
        <v>3</v>
      </c>
      <c r="D1056" s="5">
        <f t="shared" si="66"/>
        <v>2024</v>
      </c>
      <c r="E1056" s="5" t="str">
        <f t="shared" si="67"/>
        <v>Q1</v>
      </c>
      <c r="F1056" s="5">
        <v>137.02999879999999</v>
      </c>
      <c r="G1056" s="5">
        <v>139.38000489999999</v>
      </c>
      <c r="H1056" s="5">
        <v>137.02999879999999</v>
      </c>
      <c r="I1056" s="5">
        <v>138.5</v>
      </c>
      <c r="J1056" s="5">
        <v>27563400</v>
      </c>
      <c r="K1056" s="5">
        <v>137.99972529999999</v>
      </c>
    </row>
    <row r="1057" spans="1:11">
      <c r="A1057" s="4">
        <v>45365</v>
      </c>
      <c r="B1057" s="5">
        <f t="shared" si="64"/>
        <v>14</v>
      </c>
      <c r="C1057" s="5">
        <f t="shared" si="65"/>
        <v>3</v>
      </c>
      <c r="D1057" s="5">
        <f t="shared" si="66"/>
        <v>2024</v>
      </c>
      <c r="E1057" s="5" t="str">
        <f t="shared" si="67"/>
        <v>Q1</v>
      </c>
      <c r="F1057" s="5">
        <v>139</v>
      </c>
      <c r="G1057" s="5">
        <v>141.0899963</v>
      </c>
      <c r="H1057" s="5">
        <v>138.9900055</v>
      </c>
      <c r="I1057" s="5">
        <v>139.78999329999999</v>
      </c>
      <c r="J1057" s="5">
        <v>23347200</v>
      </c>
      <c r="K1057" s="5">
        <v>139.28506469999999</v>
      </c>
    </row>
    <row r="1058" spans="1:11">
      <c r="A1058" s="4">
        <v>45366</v>
      </c>
      <c r="B1058" s="5">
        <f t="shared" si="64"/>
        <v>15</v>
      </c>
      <c r="C1058" s="5">
        <f t="shared" si="65"/>
        <v>3</v>
      </c>
      <c r="D1058" s="5">
        <f t="shared" si="66"/>
        <v>2024</v>
      </c>
      <c r="E1058" s="5" t="str">
        <f t="shared" si="67"/>
        <v>Q1</v>
      </c>
      <c r="F1058" s="5">
        <v>141.1900024</v>
      </c>
      <c r="G1058" s="5">
        <v>143.5899963</v>
      </c>
      <c r="H1058" s="5">
        <v>140.46000670000001</v>
      </c>
      <c r="I1058" s="5">
        <v>143.1000061</v>
      </c>
      <c r="J1058" s="5">
        <v>42753400</v>
      </c>
      <c r="K1058" s="5">
        <v>142.58312989999999</v>
      </c>
    </row>
    <row r="1059" spans="1:11">
      <c r="A1059" s="4">
        <v>45369</v>
      </c>
      <c r="B1059" s="5">
        <f t="shared" si="64"/>
        <v>18</v>
      </c>
      <c r="C1059" s="5">
        <f t="shared" si="65"/>
        <v>3</v>
      </c>
      <c r="D1059" s="5">
        <f t="shared" si="66"/>
        <v>2024</v>
      </c>
      <c r="E1059" s="5" t="str">
        <f t="shared" si="67"/>
        <v>Q1</v>
      </c>
      <c r="F1059" s="5">
        <v>142.5</v>
      </c>
      <c r="G1059" s="5">
        <v>143.17999270000001</v>
      </c>
      <c r="H1059" s="5">
        <v>140.02999879999999</v>
      </c>
      <c r="I1059" s="5">
        <v>141.17999270000001</v>
      </c>
      <c r="J1059" s="5">
        <v>49460600</v>
      </c>
      <c r="K1059" s="5">
        <v>140.6700439</v>
      </c>
    </row>
    <row r="1060" spans="1:11">
      <c r="A1060" s="4">
        <v>45370</v>
      </c>
      <c r="B1060" s="5">
        <f t="shared" si="64"/>
        <v>19</v>
      </c>
      <c r="C1060" s="5">
        <f t="shared" si="65"/>
        <v>3</v>
      </c>
      <c r="D1060" s="5">
        <f t="shared" si="66"/>
        <v>2024</v>
      </c>
      <c r="E1060" s="5" t="str">
        <f t="shared" si="67"/>
        <v>Q1</v>
      </c>
      <c r="F1060" s="5">
        <v>148.61000060000001</v>
      </c>
      <c r="G1060" s="5">
        <v>152.1499939</v>
      </c>
      <c r="H1060" s="5">
        <v>147.16999820000001</v>
      </c>
      <c r="I1060" s="5">
        <v>147.67999270000001</v>
      </c>
      <c r="J1060" s="5">
        <v>69273700</v>
      </c>
      <c r="K1060" s="5">
        <v>147.14657589999999</v>
      </c>
    </row>
    <row r="1061" spans="1:11">
      <c r="A1061" s="4">
        <v>45371</v>
      </c>
      <c r="B1061" s="5">
        <f t="shared" si="64"/>
        <v>20</v>
      </c>
      <c r="C1061" s="5">
        <f t="shared" si="65"/>
        <v>3</v>
      </c>
      <c r="D1061" s="5">
        <f t="shared" si="66"/>
        <v>2024</v>
      </c>
      <c r="E1061" s="5" t="str">
        <f t="shared" si="67"/>
        <v>Q1</v>
      </c>
      <c r="F1061" s="5">
        <v>148.1600037</v>
      </c>
      <c r="G1061" s="5">
        <v>148.78999329999999</v>
      </c>
      <c r="H1061" s="5">
        <v>146.08000179999999</v>
      </c>
      <c r="I1061" s="5">
        <v>147.02999879999999</v>
      </c>
      <c r="J1061" s="5">
        <v>24070400</v>
      </c>
      <c r="K1061" s="5">
        <v>146.4989166</v>
      </c>
    </row>
    <row r="1062" spans="1:11">
      <c r="A1062" s="4">
        <v>45372</v>
      </c>
      <c r="B1062" s="5">
        <f t="shared" si="64"/>
        <v>21</v>
      </c>
      <c r="C1062" s="5">
        <f t="shared" si="65"/>
        <v>3</v>
      </c>
      <c r="D1062" s="5">
        <f t="shared" si="66"/>
        <v>2024</v>
      </c>
      <c r="E1062" s="5" t="str">
        <f t="shared" si="67"/>
        <v>Q1</v>
      </c>
      <c r="F1062" s="5">
        <v>148</v>
      </c>
      <c r="G1062" s="5">
        <v>148.86000060000001</v>
      </c>
      <c r="H1062" s="5">
        <v>146.7400055</v>
      </c>
      <c r="I1062" s="5">
        <v>148.7400055</v>
      </c>
      <c r="J1062" s="5">
        <v>21311500</v>
      </c>
      <c r="K1062" s="5">
        <v>148.2027588</v>
      </c>
    </row>
    <row r="1063" spans="1:11">
      <c r="A1063" s="4">
        <v>45373</v>
      </c>
      <c r="B1063" s="5">
        <f t="shared" si="64"/>
        <v>22</v>
      </c>
      <c r="C1063" s="5">
        <f t="shared" si="65"/>
        <v>3</v>
      </c>
      <c r="D1063" s="5">
        <f t="shared" si="66"/>
        <v>2024</v>
      </c>
      <c r="E1063" s="5" t="str">
        <f t="shared" si="67"/>
        <v>Q1</v>
      </c>
      <c r="F1063" s="5">
        <v>149.47000120000001</v>
      </c>
      <c r="G1063" s="5">
        <v>150.36999510000001</v>
      </c>
      <c r="H1063" s="5">
        <v>146.8999939</v>
      </c>
      <c r="I1063" s="5">
        <v>147.6000061</v>
      </c>
      <c r="J1063" s="5">
        <v>24755600</v>
      </c>
      <c r="K1063" s="5">
        <v>147.06687930000001</v>
      </c>
    </row>
    <row r="1064" spans="1:11">
      <c r="A1064" s="4">
        <v>45376</v>
      </c>
      <c r="B1064" s="5">
        <f t="shared" si="64"/>
        <v>25</v>
      </c>
      <c r="C1064" s="5">
        <f t="shared" si="65"/>
        <v>3</v>
      </c>
      <c r="D1064" s="5">
        <f t="shared" si="66"/>
        <v>2024</v>
      </c>
      <c r="E1064" s="5" t="str">
        <f t="shared" si="67"/>
        <v>Q1</v>
      </c>
      <c r="F1064" s="5">
        <v>149.11999510000001</v>
      </c>
      <c r="G1064" s="5">
        <v>151.58000179999999</v>
      </c>
      <c r="H1064" s="5">
        <v>148.97999569999999</v>
      </c>
      <c r="I1064" s="5">
        <v>150.77000430000001</v>
      </c>
      <c r="J1064" s="5">
        <v>29175700</v>
      </c>
      <c r="K1064" s="5">
        <v>150.22543329999999</v>
      </c>
    </row>
    <row r="1065" spans="1:11">
      <c r="A1065" s="4">
        <v>45377</v>
      </c>
      <c r="B1065" s="5">
        <f t="shared" si="64"/>
        <v>26</v>
      </c>
      <c r="C1065" s="5">
        <f t="shared" si="65"/>
        <v>3</v>
      </c>
      <c r="D1065" s="5">
        <f t="shared" si="66"/>
        <v>2024</v>
      </c>
      <c r="E1065" s="5" t="str">
        <f t="shared" si="67"/>
        <v>Q1</v>
      </c>
      <c r="F1065" s="5">
        <v>149.9400024</v>
      </c>
      <c r="G1065" s="5">
        <v>150.38000489999999</v>
      </c>
      <c r="H1065" s="5">
        <v>147.82000729999999</v>
      </c>
      <c r="I1065" s="5">
        <v>150.07000729999999</v>
      </c>
      <c r="J1065" s="5">
        <v>19229300</v>
      </c>
      <c r="K1065" s="5">
        <v>149.52795409999999</v>
      </c>
    </row>
    <row r="1066" spans="1:11">
      <c r="A1066" s="4">
        <v>45378</v>
      </c>
      <c r="B1066" s="5">
        <f t="shared" si="64"/>
        <v>27</v>
      </c>
      <c r="C1066" s="5">
        <f t="shared" si="65"/>
        <v>3</v>
      </c>
      <c r="D1066" s="5">
        <f t="shared" si="66"/>
        <v>2024</v>
      </c>
      <c r="E1066" s="5" t="str">
        <f t="shared" si="67"/>
        <v>Q1</v>
      </c>
      <c r="F1066" s="5">
        <v>150.22000120000001</v>
      </c>
      <c r="G1066" s="5">
        <v>152.2599945</v>
      </c>
      <c r="H1066" s="5">
        <v>149.97999569999999</v>
      </c>
      <c r="I1066" s="5">
        <v>150.66999820000001</v>
      </c>
      <c r="J1066" s="5">
        <v>22149100</v>
      </c>
      <c r="K1066" s="5">
        <v>150.12577820000001</v>
      </c>
    </row>
    <row r="1067" spans="1:11">
      <c r="A1067" s="4">
        <v>45379</v>
      </c>
      <c r="B1067" s="5">
        <f t="shared" si="64"/>
        <v>28</v>
      </c>
      <c r="C1067" s="5">
        <f t="shared" si="65"/>
        <v>3</v>
      </c>
      <c r="D1067" s="5">
        <f t="shared" si="66"/>
        <v>2024</v>
      </c>
      <c r="E1067" s="5" t="str">
        <f t="shared" si="67"/>
        <v>Q1</v>
      </c>
      <c r="F1067" s="5">
        <v>151.17999270000001</v>
      </c>
      <c r="G1067" s="5">
        <v>151.63999939999999</v>
      </c>
      <c r="H1067" s="5">
        <v>148.8999939</v>
      </c>
      <c r="I1067" s="5">
        <v>150.86999510000001</v>
      </c>
      <c r="J1067" s="5">
        <v>22879200</v>
      </c>
      <c r="K1067" s="5">
        <v>150.32504270000001</v>
      </c>
    </row>
    <row r="1068" spans="1:11" hidden="1">
      <c r="A1068" s="4">
        <v>45383</v>
      </c>
      <c r="B1068" s="5">
        <f t="shared" si="64"/>
        <v>1</v>
      </c>
      <c r="C1068" s="5">
        <f t="shared" si="65"/>
        <v>4</v>
      </c>
      <c r="D1068" s="5">
        <f t="shared" si="66"/>
        <v>2024</v>
      </c>
      <c r="E1068" s="5" t="str">
        <f t="shared" si="67"/>
        <v>Q2</v>
      </c>
      <c r="F1068" s="5">
        <v>150.8500061</v>
      </c>
      <c r="G1068" s="5">
        <v>151.42999270000001</v>
      </c>
      <c r="H1068" s="5">
        <v>150.16999820000001</v>
      </c>
      <c r="I1068" s="5">
        <v>150.92999270000001</v>
      </c>
      <c r="J1068" s="5">
        <v>24485400</v>
      </c>
      <c r="K1068" s="5">
        <v>150.3848419</v>
      </c>
    </row>
    <row r="1069" spans="1:11" hidden="1">
      <c r="A1069" s="4">
        <v>45384</v>
      </c>
      <c r="B1069" s="5">
        <f t="shared" si="64"/>
        <v>2</v>
      </c>
      <c r="C1069" s="5">
        <f t="shared" si="65"/>
        <v>4</v>
      </c>
      <c r="D1069" s="5">
        <f t="shared" si="66"/>
        <v>2024</v>
      </c>
      <c r="E1069" s="5" t="str">
        <f t="shared" si="67"/>
        <v>Q2</v>
      </c>
      <c r="F1069" s="5">
        <v>150.6900024</v>
      </c>
      <c r="G1069" s="5">
        <v>155.7400055</v>
      </c>
      <c r="H1069" s="5">
        <v>150.61000060000001</v>
      </c>
      <c r="I1069" s="5">
        <v>155.4900055</v>
      </c>
      <c r="J1069" s="5">
        <v>31730800</v>
      </c>
      <c r="K1069" s="5">
        <v>154.92839050000001</v>
      </c>
    </row>
    <row r="1070" spans="1:11" hidden="1">
      <c r="A1070" s="4">
        <v>45385</v>
      </c>
      <c r="B1070" s="5">
        <f t="shared" si="64"/>
        <v>3</v>
      </c>
      <c r="C1070" s="5">
        <f t="shared" si="65"/>
        <v>4</v>
      </c>
      <c r="D1070" s="5">
        <f t="shared" si="66"/>
        <v>2024</v>
      </c>
      <c r="E1070" s="5" t="str">
        <f t="shared" si="67"/>
        <v>Q2</v>
      </c>
      <c r="F1070" s="5">
        <v>153.5</v>
      </c>
      <c r="G1070" s="5">
        <v>154.6999969</v>
      </c>
      <c r="H1070" s="5">
        <v>152.1499939</v>
      </c>
      <c r="I1070" s="5">
        <v>154.5599976</v>
      </c>
      <c r="J1070" s="5">
        <v>24586000</v>
      </c>
      <c r="K1070" s="5">
        <v>154.00172420000001</v>
      </c>
    </row>
    <row r="1071" spans="1:11" hidden="1">
      <c r="A1071" s="4">
        <v>45386</v>
      </c>
      <c r="B1071" s="5">
        <f t="shared" si="64"/>
        <v>4</v>
      </c>
      <c r="C1071" s="5">
        <f t="shared" si="65"/>
        <v>4</v>
      </c>
      <c r="D1071" s="5">
        <f t="shared" si="66"/>
        <v>2024</v>
      </c>
      <c r="E1071" s="5" t="str">
        <f t="shared" si="67"/>
        <v>Q2</v>
      </c>
      <c r="F1071" s="5">
        <v>153.6000061</v>
      </c>
      <c r="G1071" s="5">
        <v>155.08000179999999</v>
      </c>
      <c r="H1071" s="5">
        <v>152.72999569999999</v>
      </c>
      <c r="I1071" s="5">
        <v>154.91999820000001</v>
      </c>
      <c r="J1071" s="5">
        <v>24705000</v>
      </c>
      <c r="K1071" s="5">
        <v>154.36042789999999</v>
      </c>
    </row>
    <row r="1072" spans="1:11" hidden="1">
      <c r="A1072" s="4">
        <v>45387</v>
      </c>
      <c r="B1072" s="5">
        <f t="shared" si="64"/>
        <v>5</v>
      </c>
      <c r="C1072" s="5">
        <f t="shared" si="65"/>
        <v>4</v>
      </c>
      <c r="D1072" s="5">
        <f t="shared" si="66"/>
        <v>2024</v>
      </c>
      <c r="E1072" s="5" t="str">
        <f t="shared" si="67"/>
        <v>Q2</v>
      </c>
      <c r="F1072" s="5">
        <v>153.5</v>
      </c>
      <c r="G1072" s="5">
        <v>154.77000430000001</v>
      </c>
      <c r="H1072" s="5">
        <v>150.4499969</v>
      </c>
      <c r="I1072" s="5">
        <v>150.52999879999999</v>
      </c>
      <c r="J1072" s="5">
        <v>34724700</v>
      </c>
      <c r="K1072" s="5">
        <v>149.9862976</v>
      </c>
    </row>
    <row r="1073" spans="1:11" hidden="1">
      <c r="A1073" s="4">
        <v>45390</v>
      </c>
      <c r="B1073" s="5">
        <f t="shared" si="64"/>
        <v>8</v>
      </c>
      <c r="C1073" s="5">
        <f t="shared" si="65"/>
        <v>4</v>
      </c>
      <c r="D1073" s="5">
        <f t="shared" si="66"/>
        <v>2024</v>
      </c>
      <c r="E1073" s="5" t="str">
        <f t="shared" si="67"/>
        <v>Q2</v>
      </c>
      <c r="F1073" s="5">
        <v>150.02999879999999</v>
      </c>
      <c r="G1073" s="5">
        <v>153.41999820000001</v>
      </c>
      <c r="H1073" s="5">
        <v>149.6000061</v>
      </c>
      <c r="I1073" s="5">
        <v>152.5</v>
      </c>
      <c r="J1073" s="5">
        <v>23449300</v>
      </c>
      <c r="K1073" s="5">
        <v>151.949173</v>
      </c>
    </row>
    <row r="1074" spans="1:11" hidden="1">
      <c r="A1074" s="4">
        <v>45391</v>
      </c>
      <c r="B1074" s="5">
        <f t="shared" si="64"/>
        <v>9</v>
      </c>
      <c r="C1074" s="5">
        <f t="shared" si="65"/>
        <v>4</v>
      </c>
      <c r="D1074" s="5">
        <f t="shared" si="66"/>
        <v>2024</v>
      </c>
      <c r="E1074" s="5" t="str">
        <f t="shared" si="67"/>
        <v>Q2</v>
      </c>
      <c r="F1074" s="5">
        <v>152.77999879999999</v>
      </c>
      <c r="G1074" s="5">
        <v>155.27000430000001</v>
      </c>
      <c r="H1074" s="5">
        <v>152.61000060000001</v>
      </c>
      <c r="I1074" s="5">
        <v>154.8500061</v>
      </c>
      <c r="J1074" s="5">
        <v>20702000</v>
      </c>
      <c r="K1074" s="5">
        <v>154.29069519999999</v>
      </c>
    </row>
    <row r="1075" spans="1:11" hidden="1">
      <c r="A1075" s="4">
        <v>45392</v>
      </c>
      <c r="B1075" s="5">
        <f t="shared" si="64"/>
        <v>10</v>
      </c>
      <c r="C1075" s="5">
        <f t="shared" si="65"/>
        <v>4</v>
      </c>
      <c r="D1075" s="5">
        <f t="shared" si="66"/>
        <v>2024</v>
      </c>
      <c r="E1075" s="5" t="str">
        <f t="shared" si="67"/>
        <v>Q2</v>
      </c>
      <c r="F1075" s="5">
        <v>156.0899963</v>
      </c>
      <c r="G1075" s="5">
        <v>158.5599976</v>
      </c>
      <c r="H1075" s="5">
        <v>155.1900024</v>
      </c>
      <c r="I1075" s="5">
        <v>156.6000061</v>
      </c>
      <c r="J1075" s="5">
        <v>31113000</v>
      </c>
      <c r="K1075" s="5">
        <v>156.0343628</v>
      </c>
    </row>
    <row r="1076" spans="1:11" hidden="1">
      <c r="A1076" s="4">
        <v>45393</v>
      </c>
      <c r="B1076" s="5">
        <f t="shared" si="64"/>
        <v>11</v>
      </c>
      <c r="C1076" s="5">
        <f t="shared" si="65"/>
        <v>4</v>
      </c>
      <c r="D1076" s="5">
        <f t="shared" si="66"/>
        <v>2024</v>
      </c>
      <c r="E1076" s="5" t="str">
        <f t="shared" si="67"/>
        <v>Q2</v>
      </c>
      <c r="F1076" s="5">
        <v>156.21000670000001</v>
      </c>
      <c r="G1076" s="5">
        <v>156.61000060000001</v>
      </c>
      <c r="H1076" s="5">
        <v>154.67999270000001</v>
      </c>
      <c r="I1076" s="5">
        <v>156.13999939999999</v>
      </c>
      <c r="J1076" s="5">
        <v>22838600</v>
      </c>
      <c r="K1076" s="5">
        <v>155.57601930000001</v>
      </c>
    </row>
    <row r="1077" spans="1:11" hidden="1">
      <c r="A1077" s="4">
        <v>45394</v>
      </c>
      <c r="B1077" s="5">
        <f t="shared" si="64"/>
        <v>12</v>
      </c>
      <c r="C1077" s="5">
        <f t="shared" si="65"/>
        <v>4</v>
      </c>
      <c r="D1077" s="5">
        <f t="shared" si="66"/>
        <v>2024</v>
      </c>
      <c r="E1077" s="5" t="str">
        <f t="shared" si="67"/>
        <v>Q2</v>
      </c>
      <c r="F1077" s="5">
        <v>156.9100037</v>
      </c>
      <c r="G1077" s="5">
        <v>159.67999270000001</v>
      </c>
      <c r="H1077" s="5">
        <v>156.46000670000001</v>
      </c>
      <c r="I1077" s="5">
        <v>159.4100037</v>
      </c>
      <c r="J1077" s="5">
        <v>27166400</v>
      </c>
      <c r="K1077" s="5">
        <v>158.83421329999999</v>
      </c>
    </row>
    <row r="1078" spans="1:11" hidden="1">
      <c r="A1078" s="4">
        <v>45397</v>
      </c>
      <c r="B1078" s="5">
        <f t="shared" si="64"/>
        <v>15</v>
      </c>
      <c r="C1078" s="5">
        <f t="shared" si="65"/>
        <v>4</v>
      </c>
      <c r="D1078" s="5">
        <f t="shared" si="66"/>
        <v>2024</v>
      </c>
      <c r="E1078" s="5" t="str">
        <f t="shared" si="67"/>
        <v>Q2</v>
      </c>
      <c r="F1078" s="5">
        <v>157.96000670000001</v>
      </c>
      <c r="G1078" s="5">
        <v>160.22000120000001</v>
      </c>
      <c r="H1078" s="5">
        <v>157.13999939999999</v>
      </c>
      <c r="I1078" s="5">
        <v>157.72999569999999</v>
      </c>
      <c r="J1078" s="5">
        <v>25329200</v>
      </c>
      <c r="K1078" s="5">
        <v>157.16027829999999</v>
      </c>
    </row>
    <row r="1079" spans="1:11" hidden="1">
      <c r="A1079" s="4">
        <v>45398</v>
      </c>
      <c r="B1079" s="5">
        <f t="shared" si="64"/>
        <v>16</v>
      </c>
      <c r="C1079" s="5">
        <f t="shared" si="65"/>
        <v>4</v>
      </c>
      <c r="D1079" s="5">
        <f t="shared" si="66"/>
        <v>2024</v>
      </c>
      <c r="E1079" s="5" t="str">
        <f t="shared" si="67"/>
        <v>Q2</v>
      </c>
      <c r="F1079" s="5">
        <v>158.86000060000001</v>
      </c>
      <c r="G1079" s="5">
        <v>159.2400055</v>
      </c>
      <c r="H1079" s="5">
        <v>154.5899963</v>
      </c>
      <c r="I1079" s="5">
        <v>154.86000060000001</v>
      </c>
      <c r="J1079" s="5">
        <v>27136500</v>
      </c>
      <c r="K1079" s="5">
        <v>154.30064390000001</v>
      </c>
    </row>
    <row r="1080" spans="1:11" hidden="1">
      <c r="A1080" s="4">
        <v>45399</v>
      </c>
      <c r="B1080" s="5">
        <f t="shared" si="64"/>
        <v>17</v>
      </c>
      <c r="C1080" s="5">
        <f t="shared" si="65"/>
        <v>4</v>
      </c>
      <c r="D1080" s="5">
        <f t="shared" si="66"/>
        <v>2024</v>
      </c>
      <c r="E1080" s="5" t="str">
        <f t="shared" si="67"/>
        <v>Q2</v>
      </c>
      <c r="F1080" s="5">
        <v>154.1900024</v>
      </c>
      <c r="G1080" s="5">
        <v>155.6499939</v>
      </c>
      <c r="H1080" s="5">
        <v>153.42999270000001</v>
      </c>
      <c r="I1080" s="5">
        <v>154.3999939</v>
      </c>
      <c r="J1080" s="5">
        <v>20779500</v>
      </c>
      <c r="K1080" s="5">
        <v>153.8423004</v>
      </c>
    </row>
    <row r="1081" spans="1:11" hidden="1">
      <c r="A1081" s="4">
        <v>45400</v>
      </c>
      <c r="B1081" s="5">
        <f t="shared" si="64"/>
        <v>18</v>
      </c>
      <c r="C1081" s="5">
        <f t="shared" si="65"/>
        <v>4</v>
      </c>
      <c r="D1081" s="5">
        <f t="shared" si="66"/>
        <v>2024</v>
      </c>
      <c r="E1081" s="5" t="str">
        <f t="shared" si="67"/>
        <v>Q2</v>
      </c>
      <c r="F1081" s="5">
        <v>155.61999510000001</v>
      </c>
      <c r="G1081" s="5">
        <v>157.08000179999999</v>
      </c>
      <c r="H1081" s="5">
        <v>154.58000179999999</v>
      </c>
      <c r="I1081" s="5">
        <v>155.47000120000001</v>
      </c>
      <c r="J1081" s="5">
        <v>21763100</v>
      </c>
      <c r="K1081" s="5">
        <v>154.90844730000001</v>
      </c>
    </row>
    <row r="1082" spans="1:11" hidden="1">
      <c r="A1082" s="4">
        <v>45401</v>
      </c>
      <c r="B1082" s="5">
        <f t="shared" si="64"/>
        <v>19</v>
      </c>
      <c r="C1082" s="5">
        <f t="shared" si="65"/>
        <v>4</v>
      </c>
      <c r="D1082" s="5">
        <f t="shared" si="66"/>
        <v>2024</v>
      </c>
      <c r="E1082" s="5" t="str">
        <f t="shared" si="67"/>
        <v>Q2</v>
      </c>
      <c r="F1082" s="5">
        <v>155.3399963</v>
      </c>
      <c r="G1082" s="5">
        <v>156.9400024</v>
      </c>
      <c r="H1082" s="5">
        <v>154.61999510000001</v>
      </c>
      <c r="I1082" s="5">
        <v>156.0099945</v>
      </c>
      <c r="J1082" s="5">
        <v>19883000</v>
      </c>
      <c r="K1082" s="5">
        <v>155.4464874</v>
      </c>
    </row>
    <row r="1083" spans="1:11" hidden="1">
      <c r="A1083" s="4">
        <v>45404</v>
      </c>
      <c r="B1083" s="5">
        <f t="shared" si="64"/>
        <v>22</v>
      </c>
      <c r="C1083" s="5">
        <f t="shared" si="65"/>
        <v>4</v>
      </c>
      <c r="D1083" s="5">
        <f t="shared" si="66"/>
        <v>2024</v>
      </c>
      <c r="E1083" s="5" t="str">
        <f t="shared" si="67"/>
        <v>Q2</v>
      </c>
      <c r="F1083" s="5">
        <v>156.1999969</v>
      </c>
      <c r="G1083" s="5">
        <v>156.36000060000001</v>
      </c>
      <c r="H1083" s="5">
        <v>152.3000031</v>
      </c>
      <c r="I1083" s="5">
        <v>154.0899963</v>
      </c>
      <c r="J1083" s="5">
        <v>32239100</v>
      </c>
      <c r="K1083" s="5">
        <v>153.533432</v>
      </c>
    </row>
    <row r="1084" spans="1:11" hidden="1">
      <c r="A1084" s="4">
        <v>45405</v>
      </c>
      <c r="B1084" s="5">
        <f t="shared" si="64"/>
        <v>23</v>
      </c>
      <c r="C1084" s="5">
        <f t="shared" si="65"/>
        <v>4</v>
      </c>
      <c r="D1084" s="5">
        <f t="shared" si="66"/>
        <v>2024</v>
      </c>
      <c r="E1084" s="5" t="str">
        <f t="shared" si="67"/>
        <v>Q2</v>
      </c>
      <c r="F1084" s="5">
        <v>154.3099976</v>
      </c>
      <c r="G1084" s="5">
        <v>157.63999939999999</v>
      </c>
      <c r="H1084" s="5">
        <v>154.0599976</v>
      </c>
      <c r="I1084" s="5">
        <v>156.27999879999999</v>
      </c>
      <c r="J1084" s="5">
        <v>26446200</v>
      </c>
      <c r="K1084" s="5">
        <v>155.7155151</v>
      </c>
    </row>
    <row r="1085" spans="1:11" hidden="1">
      <c r="A1085" s="4">
        <v>45406</v>
      </c>
      <c r="B1085" s="5">
        <f t="shared" si="64"/>
        <v>24</v>
      </c>
      <c r="C1085" s="5">
        <f t="shared" si="65"/>
        <v>4</v>
      </c>
      <c r="D1085" s="5">
        <f t="shared" si="66"/>
        <v>2024</v>
      </c>
      <c r="E1085" s="5" t="str">
        <f t="shared" si="67"/>
        <v>Q2</v>
      </c>
      <c r="F1085" s="5">
        <v>156.96000670000001</v>
      </c>
      <c r="G1085" s="5">
        <v>158.97000120000001</v>
      </c>
      <c r="H1085" s="5">
        <v>156.27999879999999</v>
      </c>
      <c r="I1085" s="5">
        <v>158.2599945</v>
      </c>
      <c r="J1085" s="5">
        <v>21151600</v>
      </c>
      <c r="K1085" s="5">
        <v>157.6883545</v>
      </c>
    </row>
    <row r="1086" spans="1:11" hidden="1">
      <c r="A1086" s="4">
        <v>45407</v>
      </c>
      <c r="B1086" s="5">
        <f t="shared" si="64"/>
        <v>25</v>
      </c>
      <c r="C1086" s="5">
        <f t="shared" si="65"/>
        <v>4</v>
      </c>
      <c r="D1086" s="5">
        <f t="shared" si="66"/>
        <v>2024</v>
      </c>
      <c r="E1086" s="5" t="str">
        <f t="shared" si="67"/>
        <v>Q2</v>
      </c>
      <c r="F1086" s="5">
        <v>157.4900055</v>
      </c>
      <c r="G1086" s="5">
        <v>159.57000729999999</v>
      </c>
      <c r="H1086" s="5">
        <v>157.16999820000001</v>
      </c>
      <c r="I1086" s="5">
        <v>159.13000489999999</v>
      </c>
      <c r="J1086" s="5">
        <v>22779100</v>
      </c>
      <c r="K1086" s="5">
        <v>158.55523679999999</v>
      </c>
    </row>
    <row r="1087" spans="1:11" hidden="1">
      <c r="A1087" s="4">
        <v>45408</v>
      </c>
      <c r="B1087" s="5">
        <f t="shared" si="64"/>
        <v>26</v>
      </c>
      <c r="C1087" s="5">
        <f t="shared" si="65"/>
        <v>4</v>
      </c>
      <c r="D1087" s="5">
        <f t="shared" si="66"/>
        <v>2024</v>
      </c>
      <c r="E1087" s="5" t="str">
        <f t="shared" si="67"/>
        <v>Q2</v>
      </c>
      <c r="F1087" s="5">
        <v>151.33000179999999</v>
      </c>
      <c r="G1087" s="5">
        <v>156.4900055</v>
      </c>
      <c r="H1087" s="5">
        <v>150.86999510000001</v>
      </c>
      <c r="I1087" s="5">
        <v>156</v>
      </c>
      <c r="J1087" s="5">
        <v>57109700</v>
      </c>
      <c r="K1087" s="5">
        <v>155.4365234</v>
      </c>
    </row>
    <row r="1088" spans="1:11" hidden="1">
      <c r="A1088" s="4">
        <v>45411</v>
      </c>
      <c r="B1088" s="5">
        <f t="shared" si="64"/>
        <v>29</v>
      </c>
      <c r="C1088" s="5">
        <f t="shared" si="65"/>
        <v>4</v>
      </c>
      <c r="D1088" s="5">
        <f t="shared" si="66"/>
        <v>2024</v>
      </c>
      <c r="E1088" s="5" t="str">
        <f t="shared" si="67"/>
        <v>Q2</v>
      </c>
      <c r="F1088" s="5">
        <v>174.36999510000001</v>
      </c>
      <c r="G1088" s="5">
        <v>174.71000670000001</v>
      </c>
      <c r="H1088" s="5">
        <v>169.6499939</v>
      </c>
      <c r="I1088" s="5">
        <v>171.9499969</v>
      </c>
      <c r="J1088" s="5">
        <v>64665300</v>
      </c>
      <c r="K1088" s="5">
        <v>171.32891849999999</v>
      </c>
    </row>
    <row r="1089" spans="1:18" hidden="1">
      <c r="A1089" s="4">
        <v>45412</v>
      </c>
      <c r="B1089" s="5">
        <f t="shared" si="64"/>
        <v>30</v>
      </c>
      <c r="C1089" s="5">
        <f t="shared" si="65"/>
        <v>4</v>
      </c>
      <c r="D1089" s="5">
        <f t="shared" si="66"/>
        <v>2024</v>
      </c>
      <c r="E1089" s="5" t="str">
        <f t="shared" si="67"/>
        <v>Q2</v>
      </c>
      <c r="F1089" s="5">
        <v>169.0599976</v>
      </c>
      <c r="G1089" s="5">
        <v>169.5500031</v>
      </c>
      <c r="H1089" s="5">
        <v>165.21000670000001</v>
      </c>
      <c r="I1089" s="5">
        <v>166.1499939</v>
      </c>
      <c r="J1089" s="5">
        <v>45610000</v>
      </c>
      <c r="K1089" s="5">
        <v>165.5498657</v>
      </c>
    </row>
    <row r="1090" spans="1:18" hidden="1">
      <c r="A1090" s="4">
        <v>45413</v>
      </c>
      <c r="B1090" s="5">
        <f t="shared" ref="B1090:B1153" si="68">DAY(A1090)</f>
        <v>1</v>
      </c>
      <c r="C1090" s="5">
        <f t="shared" ref="C1090:C1153" si="69">MONTH(A1090)</f>
        <v>5</v>
      </c>
      <c r="D1090" s="5">
        <f t="shared" ref="D1090:D1153" si="70">YEAR(A1090)</f>
        <v>2024</v>
      </c>
      <c r="E1090" s="5" t="str">
        <f t="shared" ref="E1090:E1153" si="71">"Q"&amp;ROUNDUP(MONTH(A1090)/3,0)</f>
        <v>Q2</v>
      </c>
      <c r="F1090" s="5">
        <v>165.61000060000001</v>
      </c>
      <c r="G1090" s="5">
        <v>168.1000061</v>
      </c>
      <c r="H1090" s="5">
        <v>162.6000061</v>
      </c>
      <c r="I1090" s="5">
        <v>162.77999879999999</v>
      </c>
      <c r="J1090" s="5">
        <v>33562900</v>
      </c>
      <c r="K1090" s="5">
        <v>162.1920471</v>
      </c>
    </row>
    <row r="1091" spans="1:18" hidden="1">
      <c r="A1091" s="4">
        <v>45414</v>
      </c>
      <c r="B1091" s="5">
        <f t="shared" si="68"/>
        <v>2</v>
      </c>
      <c r="C1091" s="5">
        <f t="shared" si="69"/>
        <v>5</v>
      </c>
      <c r="D1091" s="5">
        <f t="shared" si="70"/>
        <v>2024</v>
      </c>
      <c r="E1091" s="5" t="str">
        <f t="shared" si="71"/>
        <v>Q2</v>
      </c>
      <c r="F1091" s="5">
        <v>164.3000031</v>
      </c>
      <c r="G1091" s="5">
        <v>167.11999510000001</v>
      </c>
      <c r="H1091" s="5">
        <v>163.0899963</v>
      </c>
      <c r="I1091" s="5">
        <v>163.86000060000001</v>
      </c>
      <c r="J1091" s="5">
        <v>33493200</v>
      </c>
      <c r="K1091" s="5">
        <v>163.2681427</v>
      </c>
    </row>
    <row r="1092" spans="1:18" hidden="1">
      <c r="A1092" s="4">
        <v>45415</v>
      </c>
      <c r="B1092" s="5">
        <f t="shared" si="68"/>
        <v>3</v>
      </c>
      <c r="C1092" s="5">
        <f t="shared" si="69"/>
        <v>5</v>
      </c>
      <c r="D1092" s="5">
        <f t="shared" si="70"/>
        <v>2024</v>
      </c>
      <c r="E1092" s="5" t="str">
        <f t="shared" si="71"/>
        <v>Q2</v>
      </c>
      <c r="F1092" s="5">
        <v>164.78999329999999</v>
      </c>
      <c r="G1092" s="5">
        <v>166.72999569999999</v>
      </c>
      <c r="H1092" s="5">
        <v>163.88999939999999</v>
      </c>
      <c r="I1092" s="5">
        <v>166.61999510000001</v>
      </c>
      <c r="J1092" s="5">
        <v>24294500</v>
      </c>
      <c r="K1092" s="5">
        <v>166.01817320000001</v>
      </c>
    </row>
    <row r="1093" spans="1:18" hidden="1">
      <c r="A1093" s="4">
        <v>45418</v>
      </c>
      <c r="B1093" s="5">
        <f t="shared" si="68"/>
        <v>6</v>
      </c>
      <c r="C1093" s="5">
        <f t="shared" si="69"/>
        <v>5</v>
      </c>
      <c r="D1093" s="5">
        <f t="shared" si="70"/>
        <v>2024</v>
      </c>
      <c r="E1093" s="5" t="str">
        <f t="shared" si="71"/>
        <v>Q2</v>
      </c>
      <c r="F1093" s="5">
        <v>167.5599976</v>
      </c>
      <c r="G1093" s="5">
        <v>167.96000670000001</v>
      </c>
      <c r="H1093" s="5">
        <v>163.0500031</v>
      </c>
      <c r="I1093" s="5">
        <v>167.2400055</v>
      </c>
      <c r="J1093" s="5">
        <v>34662400</v>
      </c>
      <c r="K1093" s="5">
        <v>166.6359253</v>
      </c>
    </row>
    <row r="1094" spans="1:18" hidden="1">
      <c r="A1094" s="4">
        <v>45419</v>
      </c>
      <c r="B1094" s="5">
        <f t="shared" si="68"/>
        <v>7</v>
      </c>
      <c r="C1094" s="5">
        <f t="shared" si="69"/>
        <v>5</v>
      </c>
      <c r="D1094" s="5">
        <f t="shared" si="70"/>
        <v>2024</v>
      </c>
      <c r="E1094" s="5" t="str">
        <f t="shared" si="71"/>
        <v>Q2</v>
      </c>
      <c r="F1094" s="5">
        <v>167.46000670000001</v>
      </c>
      <c r="G1094" s="5">
        <v>168.13999939999999</v>
      </c>
      <c r="H1094" s="5">
        <v>166.02999879999999</v>
      </c>
      <c r="I1094" s="5">
        <v>168.1000061</v>
      </c>
      <c r="J1094" s="5">
        <v>21871300</v>
      </c>
      <c r="K1094" s="5">
        <v>167.49284359999999</v>
      </c>
    </row>
    <row r="1095" spans="1:18" hidden="1">
      <c r="A1095" s="4">
        <v>45420</v>
      </c>
      <c r="B1095" s="5">
        <f t="shared" si="68"/>
        <v>8</v>
      </c>
      <c r="C1095" s="5">
        <f t="shared" si="69"/>
        <v>5</v>
      </c>
      <c r="D1095" s="5">
        <f t="shared" si="70"/>
        <v>2024</v>
      </c>
      <c r="E1095" s="5" t="str">
        <f t="shared" si="71"/>
        <v>Q2</v>
      </c>
      <c r="F1095" s="5">
        <v>168.5</v>
      </c>
      <c r="G1095" s="5">
        <v>171.7599945</v>
      </c>
      <c r="H1095" s="5">
        <v>168.38999939999999</v>
      </c>
      <c r="I1095" s="5">
        <v>171.25</v>
      </c>
      <c r="J1095" s="5">
        <v>28039700</v>
      </c>
      <c r="K1095" s="5">
        <v>170.63143919999999</v>
      </c>
    </row>
    <row r="1096" spans="1:18" hidden="1">
      <c r="A1096" s="4">
        <v>45421</v>
      </c>
      <c r="B1096" s="5">
        <f t="shared" si="68"/>
        <v>9</v>
      </c>
      <c r="C1096" s="5">
        <f t="shared" si="69"/>
        <v>5</v>
      </c>
      <c r="D1096" s="5">
        <f t="shared" si="70"/>
        <v>2024</v>
      </c>
      <c r="E1096" s="5" t="str">
        <f t="shared" si="71"/>
        <v>Q2</v>
      </c>
      <c r="F1096" s="5">
        <v>169</v>
      </c>
      <c r="G1096" s="5">
        <v>170.1499939</v>
      </c>
      <c r="H1096" s="5">
        <v>168.7400055</v>
      </c>
      <c r="I1096" s="5">
        <v>169.38000489999999</v>
      </c>
      <c r="J1096" s="5">
        <v>19569100</v>
      </c>
      <c r="K1096" s="5">
        <v>168.76821899999999</v>
      </c>
    </row>
    <row r="1097" spans="1:18" hidden="1">
      <c r="A1097" s="4">
        <v>45422</v>
      </c>
      <c r="B1097" s="5">
        <f t="shared" si="68"/>
        <v>10</v>
      </c>
      <c r="C1097" s="5">
        <f t="shared" si="69"/>
        <v>5</v>
      </c>
      <c r="D1097" s="5">
        <f t="shared" si="70"/>
        <v>2024</v>
      </c>
      <c r="E1097" s="5" t="str">
        <f t="shared" si="71"/>
        <v>Q2</v>
      </c>
      <c r="F1097" s="5">
        <v>169.38999939999999</v>
      </c>
      <c r="G1097" s="5">
        <v>170.6900024</v>
      </c>
      <c r="H1097" s="5">
        <v>168.17999270000001</v>
      </c>
      <c r="I1097" s="5">
        <v>169.96000670000001</v>
      </c>
      <c r="J1097" s="5">
        <v>15346700</v>
      </c>
      <c r="K1097" s="5">
        <v>169.34611509999999</v>
      </c>
    </row>
    <row r="1098" spans="1:18" hidden="1">
      <c r="A1098" s="4">
        <v>45425</v>
      </c>
      <c r="B1098" s="5">
        <f t="shared" si="68"/>
        <v>13</v>
      </c>
      <c r="C1098" s="5">
        <f t="shared" si="69"/>
        <v>5</v>
      </c>
      <c r="D1098" s="5">
        <f t="shared" si="70"/>
        <v>2024</v>
      </c>
      <c r="E1098" s="5" t="str">
        <f t="shared" si="71"/>
        <v>Q2</v>
      </c>
      <c r="F1098" s="5">
        <v>168.02999879999999</v>
      </c>
      <c r="G1098" s="5">
        <v>169.8500061</v>
      </c>
      <c r="H1098" s="5">
        <v>166.1900024</v>
      </c>
      <c r="I1098" s="5">
        <v>168.6499939</v>
      </c>
      <c r="J1098" s="5">
        <v>29799900</v>
      </c>
      <c r="K1098" s="5">
        <v>168.04083249999999</v>
      </c>
    </row>
    <row r="1099" spans="1:18" hidden="1">
      <c r="A1099" s="4">
        <v>45426</v>
      </c>
      <c r="B1099" s="5">
        <f t="shared" si="68"/>
        <v>14</v>
      </c>
      <c r="C1099" s="5">
        <f t="shared" si="69"/>
        <v>5</v>
      </c>
      <c r="D1099" s="5">
        <f t="shared" si="70"/>
        <v>2024</v>
      </c>
      <c r="E1099" s="5" t="str">
        <f t="shared" si="71"/>
        <v>Q2</v>
      </c>
      <c r="F1099" s="5">
        <v>164.2599945</v>
      </c>
      <c r="G1099" s="5">
        <v>169.27999879999999</v>
      </c>
      <c r="H1099" s="5">
        <v>164</v>
      </c>
      <c r="I1099" s="5">
        <v>169.13999939999999</v>
      </c>
      <c r="J1099" s="5">
        <v>31327600</v>
      </c>
      <c r="K1099" s="5">
        <v>168.529068</v>
      </c>
    </row>
    <row r="1100" spans="1:18" hidden="1">
      <c r="A1100" s="4">
        <v>45427</v>
      </c>
      <c r="B1100" s="5">
        <f t="shared" si="68"/>
        <v>15</v>
      </c>
      <c r="C1100" s="5">
        <f t="shared" si="69"/>
        <v>5</v>
      </c>
      <c r="D1100" s="5">
        <f t="shared" si="70"/>
        <v>2024</v>
      </c>
      <c r="E1100" s="5" t="str">
        <f t="shared" si="71"/>
        <v>Q2</v>
      </c>
      <c r="F1100" s="5">
        <v>169.77000430000001</v>
      </c>
      <c r="G1100" s="5">
        <v>171.25</v>
      </c>
      <c r="H1100" s="5">
        <v>168.8000031</v>
      </c>
      <c r="I1100" s="5">
        <v>170.3399963</v>
      </c>
      <c r="J1100" s="5">
        <v>25127100</v>
      </c>
      <c r="K1100" s="5">
        <v>169.7247314</v>
      </c>
    </row>
    <row r="1101" spans="1:18" hidden="1">
      <c r="A1101" s="4">
        <v>45428</v>
      </c>
      <c r="B1101" s="5">
        <f t="shared" si="68"/>
        <v>16</v>
      </c>
      <c r="C1101" s="5">
        <f t="shared" si="69"/>
        <v>5</v>
      </c>
      <c r="D1101" s="5">
        <f t="shared" si="70"/>
        <v>2024</v>
      </c>
      <c r="E1101" s="5" t="str">
        <f t="shared" si="71"/>
        <v>Q2</v>
      </c>
      <c r="F1101" s="5">
        <v>170.63000489999999</v>
      </c>
      <c r="G1101" s="5">
        <v>172.6499939</v>
      </c>
      <c r="H1101" s="5">
        <v>170.5099945</v>
      </c>
      <c r="I1101" s="5">
        <v>172.5099945</v>
      </c>
      <c r="J1101" s="5">
        <v>26948400</v>
      </c>
      <c r="K1101" s="5">
        <v>171.8869019</v>
      </c>
    </row>
    <row r="1102" spans="1:18" hidden="1">
      <c r="A1102" s="4">
        <v>45429</v>
      </c>
      <c r="B1102" s="5">
        <f t="shared" si="68"/>
        <v>17</v>
      </c>
      <c r="C1102" s="5">
        <f t="shared" si="69"/>
        <v>5</v>
      </c>
      <c r="D1102" s="5">
        <f t="shared" si="70"/>
        <v>2024</v>
      </c>
      <c r="E1102" s="5" t="str">
        <f t="shared" si="71"/>
        <v>Q2</v>
      </c>
      <c r="F1102" s="5">
        <v>173.28999329999999</v>
      </c>
      <c r="G1102" s="5">
        <v>175.11999510000001</v>
      </c>
      <c r="H1102" s="5">
        <v>172.6900024</v>
      </c>
      <c r="I1102" s="5">
        <v>174.17999270000001</v>
      </c>
      <c r="J1102" s="5">
        <v>27867900</v>
      </c>
      <c r="K1102" s="5">
        <v>173.5508423</v>
      </c>
    </row>
    <row r="1103" spans="1:18" hidden="1">
      <c r="A1103" s="4">
        <v>45432</v>
      </c>
      <c r="B1103" s="5">
        <f t="shared" si="68"/>
        <v>20</v>
      </c>
      <c r="C1103" s="5">
        <f t="shared" si="69"/>
        <v>5</v>
      </c>
      <c r="D1103" s="5">
        <f t="shared" si="70"/>
        <v>2024</v>
      </c>
      <c r="E1103" s="5" t="str">
        <f t="shared" si="71"/>
        <v>Q2</v>
      </c>
      <c r="F1103" s="5">
        <v>174.17999270000001</v>
      </c>
      <c r="G1103" s="5">
        <v>176.27000430000001</v>
      </c>
      <c r="H1103" s="5">
        <v>173.6900024</v>
      </c>
      <c r="I1103" s="5">
        <v>176.0599976</v>
      </c>
      <c r="J1103" s="5">
        <v>24479300</v>
      </c>
      <c r="K1103" s="5">
        <v>175.424057</v>
      </c>
    </row>
    <row r="1104" spans="1:18" hidden="1">
      <c r="A1104" s="4">
        <v>45433</v>
      </c>
      <c r="B1104" s="5">
        <f t="shared" si="68"/>
        <v>21</v>
      </c>
      <c r="C1104" s="5">
        <f t="shared" si="69"/>
        <v>5</v>
      </c>
      <c r="D1104" s="5">
        <f t="shared" si="70"/>
        <v>2024</v>
      </c>
      <c r="E1104" s="5" t="str">
        <f t="shared" si="71"/>
        <v>Q2</v>
      </c>
      <c r="F1104" s="5">
        <v>176.1900024</v>
      </c>
      <c r="G1104" s="5">
        <v>178.77000430000001</v>
      </c>
      <c r="H1104" s="5">
        <v>176.08000179999999</v>
      </c>
      <c r="I1104" s="5">
        <v>176.91999820000001</v>
      </c>
      <c r="J1104" s="5">
        <v>22554400</v>
      </c>
      <c r="K1104" s="5">
        <v>176.28097529999999</v>
      </c>
      <c r="R1104" s="1">
        <f>A1104+7</f>
        <v>45440</v>
      </c>
    </row>
    <row r="1105" spans="1:18" hidden="1">
      <c r="A1105" s="4">
        <v>45434</v>
      </c>
      <c r="B1105" s="5">
        <f t="shared" si="68"/>
        <v>22</v>
      </c>
      <c r="C1105" s="5">
        <f t="shared" si="69"/>
        <v>5</v>
      </c>
      <c r="D1105" s="5">
        <f t="shared" si="70"/>
        <v>2024</v>
      </c>
      <c r="E1105" s="5" t="str">
        <f t="shared" si="71"/>
        <v>Q2</v>
      </c>
      <c r="F1105" s="5">
        <v>176.8999939</v>
      </c>
      <c r="G1105" s="5">
        <v>178.1499939</v>
      </c>
      <c r="H1105" s="5">
        <v>175.8099976</v>
      </c>
      <c r="I1105" s="5">
        <v>177.8500061</v>
      </c>
      <c r="J1105" s="5">
        <v>16989400</v>
      </c>
      <c r="K1105" s="5">
        <v>177.20761110000001</v>
      </c>
      <c r="R1105" s="1">
        <f>A1105+7</f>
        <v>45441</v>
      </c>
    </row>
    <row r="1106" spans="1:18" hidden="1">
      <c r="A1106" s="4">
        <v>45435</v>
      </c>
      <c r="B1106" s="5">
        <f t="shared" si="68"/>
        <v>23</v>
      </c>
      <c r="C1106" s="5">
        <f t="shared" si="69"/>
        <v>5</v>
      </c>
      <c r="D1106" s="5">
        <f t="shared" si="70"/>
        <v>2024</v>
      </c>
      <c r="E1106" s="5" t="str">
        <f t="shared" si="71"/>
        <v>Q2</v>
      </c>
      <c r="F1106" s="5">
        <v>176.63999939999999</v>
      </c>
      <c r="G1106" s="5">
        <v>177.1499939</v>
      </c>
      <c r="H1106" s="5">
        <v>175.21000670000001</v>
      </c>
      <c r="I1106" s="5">
        <v>176.38000489999999</v>
      </c>
      <c r="J1106" s="5">
        <v>17880000</v>
      </c>
      <c r="K1106" s="5">
        <v>175.7429047</v>
      </c>
      <c r="R1106" s="1">
        <f>A1106+7</f>
        <v>45442</v>
      </c>
    </row>
    <row r="1107" spans="1:18" hidden="1">
      <c r="A1107" s="4">
        <v>45436</v>
      </c>
      <c r="B1107" s="5">
        <f t="shared" si="68"/>
        <v>24</v>
      </c>
      <c r="C1107" s="5">
        <f t="shared" si="69"/>
        <v>5</v>
      </c>
      <c r="D1107" s="5">
        <f t="shared" si="70"/>
        <v>2024</v>
      </c>
      <c r="E1107" s="5" t="str">
        <f t="shared" si="71"/>
        <v>Q2</v>
      </c>
      <c r="F1107" s="5">
        <v>177.07000729999999</v>
      </c>
      <c r="G1107" s="5">
        <v>178.25</v>
      </c>
      <c r="H1107" s="5">
        <v>172.9499969</v>
      </c>
      <c r="I1107" s="5">
        <v>173.5500031</v>
      </c>
      <c r="J1107" s="5">
        <v>21024900</v>
      </c>
      <c r="K1107" s="5">
        <v>172.92315669999999</v>
      </c>
      <c r="R1107" s="1">
        <f>A1107+7</f>
        <v>45443</v>
      </c>
    </row>
    <row r="1108" spans="1:18" hidden="1">
      <c r="A1108" s="4">
        <v>45440</v>
      </c>
      <c r="B1108" s="5">
        <f t="shared" si="68"/>
        <v>28</v>
      </c>
      <c r="C1108" s="5">
        <f t="shared" si="69"/>
        <v>5</v>
      </c>
      <c r="D1108" s="5">
        <f t="shared" si="70"/>
        <v>2024</v>
      </c>
      <c r="E1108" s="5" t="str">
        <f t="shared" si="71"/>
        <v>Q2</v>
      </c>
      <c r="F1108" s="5">
        <v>174.97999569999999</v>
      </c>
      <c r="G1108" s="5">
        <v>175.77000430000001</v>
      </c>
      <c r="H1108" s="5">
        <v>173.6499939</v>
      </c>
      <c r="I1108" s="5">
        <v>174.9900055</v>
      </c>
      <c r="J1108" s="5">
        <v>16572500</v>
      </c>
      <c r="K1108" s="5">
        <v>174.35795590000001</v>
      </c>
      <c r="R1108" s="1">
        <f>A1108+7</f>
        <v>45447</v>
      </c>
    </row>
    <row r="1109" spans="1:18" hidden="1">
      <c r="A1109" s="4">
        <v>45441</v>
      </c>
      <c r="B1109" s="5">
        <f t="shared" si="68"/>
        <v>29</v>
      </c>
      <c r="C1109" s="5">
        <f t="shared" si="69"/>
        <v>5</v>
      </c>
      <c r="D1109" s="5">
        <f t="shared" si="70"/>
        <v>2024</v>
      </c>
      <c r="E1109" s="5" t="str">
        <f t="shared" si="71"/>
        <v>Q2</v>
      </c>
      <c r="F1109" s="5">
        <v>174.4499969</v>
      </c>
      <c r="G1109" s="5">
        <v>177.27000430000001</v>
      </c>
      <c r="H1109" s="5">
        <v>174.36999510000001</v>
      </c>
      <c r="I1109" s="5">
        <v>176.3999939</v>
      </c>
      <c r="J1109" s="5">
        <v>20572200</v>
      </c>
      <c r="K1109" s="5">
        <v>175.7628479</v>
      </c>
      <c r="R1109" s="1">
        <f t="shared" ref="R1109:R1140" si="72">A1109+7</f>
        <v>45448</v>
      </c>
    </row>
    <row r="1110" spans="1:18" hidden="1">
      <c r="A1110" s="4">
        <v>45442</v>
      </c>
      <c r="B1110" s="5">
        <f t="shared" si="68"/>
        <v>30</v>
      </c>
      <c r="C1110" s="5">
        <f t="shared" si="69"/>
        <v>5</v>
      </c>
      <c r="D1110" s="5">
        <f t="shared" si="70"/>
        <v>2024</v>
      </c>
      <c r="E1110" s="5" t="str">
        <f t="shared" si="71"/>
        <v>Q2</v>
      </c>
      <c r="F1110" s="5">
        <v>175.42999270000001</v>
      </c>
      <c r="G1110" s="5">
        <v>176.8399963</v>
      </c>
      <c r="H1110" s="5">
        <v>174.72000120000001</v>
      </c>
      <c r="I1110" s="5">
        <v>175.8999939</v>
      </c>
      <c r="J1110" s="5">
        <v>23388700</v>
      </c>
      <c r="K1110" s="5">
        <v>175.26463319999999</v>
      </c>
      <c r="R1110" s="1">
        <f t="shared" si="72"/>
        <v>45449</v>
      </c>
    </row>
    <row r="1111" spans="1:18" hidden="1">
      <c r="A1111" s="4">
        <v>45443</v>
      </c>
      <c r="B1111" s="5">
        <f t="shared" si="68"/>
        <v>31</v>
      </c>
      <c r="C1111" s="5">
        <f t="shared" si="69"/>
        <v>5</v>
      </c>
      <c r="D1111" s="5">
        <f t="shared" si="70"/>
        <v>2024</v>
      </c>
      <c r="E1111" s="5" t="str">
        <f t="shared" si="71"/>
        <v>Q2</v>
      </c>
      <c r="F1111" s="5">
        <v>175.1999969</v>
      </c>
      <c r="G1111" s="5">
        <v>175.22000120000001</v>
      </c>
      <c r="H1111" s="5">
        <v>171.78999329999999</v>
      </c>
      <c r="I1111" s="5">
        <v>172.11000060000001</v>
      </c>
      <c r="J1111" s="5">
        <v>22958700</v>
      </c>
      <c r="K1111" s="5">
        <v>171.4883423</v>
      </c>
      <c r="R1111" s="1">
        <f t="shared" si="72"/>
        <v>45450</v>
      </c>
    </row>
    <row r="1112" spans="1:18" hidden="1">
      <c r="A1112" s="4">
        <v>45446</v>
      </c>
      <c r="B1112" s="5">
        <f t="shared" si="68"/>
        <v>3</v>
      </c>
      <c r="C1112" s="5">
        <f t="shared" si="69"/>
        <v>6</v>
      </c>
      <c r="D1112" s="5">
        <f t="shared" si="70"/>
        <v>2024</v>
      </c>
      <c r="E1112" s="5" t="str">
        <f t="shared" si="71"/>
        <v>Q2</v>
      </c>
      <c r="F1112" s="5">
        <v>171.86000060000001</v>
      </c>
      <c r="G1112" s="5">
        <v>173.0599976</v>
      </c>
      <c r="H1112" s="5">
        <v>169.4400024</v>
      </c>
      <c r="I1112" s="5">
        <v>172.5</v>
      </c>
      <c r="J1112" s="5">
        <v>37638900</v>
      </c>
      <c r="K1112" s="5">
        <v>171.8769226</v>
      </c>
      <c r="R1112" s="1">
        <f t="shared" si="72"/>
        <v>45453</v>
      </c>
    </row>
    <row r="1113" spans="1:18" hidden="1">
      <c r="A1113" s="4">
        <v>45447</v>
      </c>
      <c r="B1113" s="5">
        <f t="shared" si="68"/>
        <v>4</v>
      </c>
      <c r="C1113" s="5">
        <f t="shared" si="69"/>
        <v>6</v>
      </c>
      <c r="D1113" s="5">
        <f t="shared" si="70"/>
        <v>2024</v>
      </c>
      <c r="E1113" s="5" t="str">
        <f t="shared" si="71"/>
        <v>Q2</v>
      </c>
      <c r="F1113" s="5">
        <v>172.53999329999999</v>
      </c>
      <c r="G1113" s="5">
        <v>174.52999879999999</v>
      </c>
      <c r="H1113" s="5">
        <v>171.1600037</v>
      </c>
      <c r="I1113" s="5">
        <v>173.16999820000001</v>
      </c>
      <c r="J1113" s="5">
        <v>27459100</v>
      </c>
      <c r="K1113" s="5">
        <v>172.54450990000001</v>
      </c>
      <c r="R1113" s="1">
        <f t="shared" si="72"/>
        <v>45454</v>
      </c>
    </row>
    <row r="1114" spans="1:18" hidden="1">
      <c r="A1114" s="4">
        <v>45448</v>
      </c>
      <c r="B1114" s="5">
        <f t="shared" si="68"/>
        <v>5</v>
      </c>
      <c r="C1114" s="5">
        <f t="shared" si="69"/>
        <v>6</v>
      </c>
      <c r="D1114" s="5">
        <f t="shared" si="70"/>
        <v>2024</v>
      </c>
      <c r="E1114" s="5" t="str">
        <f t="shared" si="71"/>
        <v>Q2</v>
      </c>
      <c r="F1114" s="5">
        <v>173.27999879999999</v>
      </c>
      <c r="G1114" s="5">
        <v>173.8500061</v>
      </c>
      <c r="H1114" s="5">
        <v>171.88999939999999</v>
      </c>
      <c r="I1114" s="5">
        <v>173.78999329999999</v>
      </c>
      <c r="J1114" s="5">
        <v>26879600</v>
      </c>
      <c r="K1114" s="5">
        <v>173.16227720000001</v>
      </c>
      <c r="R1114" s="1">
        <f t="shared" si="72"/>
        <v>45455</v>
      </c>
    </row>
    <row r="1115" spans="1:18" hidden="1">
      <c r="A1115" s="4">
        <v>45449</v>
      </c>
      <c r="B1115" s="5">
        <f t="shared" si="68"/>
        <v>6</v>
      </c>
      <c r="C1115" s="5">
        <f t="shared" si="69"/>
        <v>6</v>
      </c>
      <c r="D1115" s="5">
        <f t="shared" si="70"/>
        <v>2024</v>
      </c>
      <c r="E1115" s="5" t="str">
        <f t="shared" si="71"/>
        <v>Q2</v>
      </c>
      <c r="F1115" s="5">
        <v>175.1999969</v>
      </c>
      <c r="G1115" s="5">
        <v>176.6499939</v>
      </c>
      <c r="H1115" s="5">
        <v>173.92999270000001</v>
      </c>
      <c r="I1115" s="5">
        <v>175.4100037</v>
      </c>
      <c r="J1115" s="5">
        <v>22068500</v>
      </c>
      <c r="K1115" s="5">
        <v>174.77641299999999</v>
      </c>
      <c r="R1115" s="1">
        <f t="shared" si="72"/>
        <v>45456</v>
      </c>
    </row>
    <row r="1116" spans="1:18" hidden="1">
      <c r="A1116" s="4">
        <v>45450</v>
      </c>
      <c r="B1116" s="5">
        <f t="shared" si="68"/>
        <v>7</v>
      </c>
      <c r="C1116" s="5">
        <f t="shared" si="69"/>
        <v>6</v>
      </c>
      <c r="D1116" s="5">
        <f t="shared" si="70"/>
        <v>2024</v>
      </c>
      <c r="E1116" s="5" t="str">
        <f t="shared" si="71"/>
        <v>Q2</v>
      </c>
      <c r="F1116" s="5">
        <v>175.8999939</v>
      </c>
      <c r="G1116" s="5">
        <v>177.1499939</v>
      </c>
      <c r="H1116" s="5">
        <v>175.75</v>
      </c>
      <c r="I1116" s="5">
        <v>176.72999569999999</v>
      </c>
      <c r="J1116" s="5">
        <v>23251000</v>
      </c>
      <c r="K1116" s="5">
        <v>176.09164430000001</v>
      </c>
      <c r="R1116" s="1">
        <f t="shared" si="72"/>
        <v>45457</v>
      </c>
    </row>
    <row r="1117" spans="1:18" hidden="1">
      <c r="A1117" s="4">
        <v>45453</v>
      </c>
      <c r="B1117" s="5">
        <f t="shared" si="68"/>
        <v>10</v>
      </c>
      <c r="C1117" s="5">
        <f t="shared" si="69"/>
        <v>6</v>
      </c>
      <c r="D1117" s="5">
        <f t="shared" si="70"/>
        <v>2024</v>
      </c>
      <c r="E1117" s="5" t="str">
        <f t="shared" si="71"/>
        <v>Q2</v>
      </c>
      <c r="F1117" s="5">
        <v>177.0500031</v>
      </c>
      <c r="G1117" s="5">
        <v>177.86999510000001</v>
      </c>
      <c r="H1117" s="5">
        <v>174.3000031</v>
      </c>
      <c r="I1117" s="5">
        <v>174.46000670000001</v>
      </c>
      <c r="J1117" s="5">
        <v>19661400</v>
      </c>
      <c r="K1117" s="5">
        <v>173.82984920000001</v>
      </c>
      <c r="R1117" s="1">
        <f t="shared" si="72"/>
        <v>45460</v>
      </c>
    </row>
    <row r="1118" spans="1:18" hidden="1">
      <c r="A1118" s="4">
        <v>45454</v>
      </c>
      <c r="B1118" s="5">
        <f t="shared" si="68"/>
        <v>11</v>
      </c>
      <c r="C1118" s="5">
        <f t="shared" si="69"/>
        <v>6</v>
      </c>
      <c r="D1118" s="5">
        <f t="shared" si="70"/>
        <v>2024</v>
      </c>
      <c r="E1118" s="5" t="str">
        <f t="shared" si="71"/>
        <v>Q2</v>
      </c>
      <c r="F1118" s="5">
        <v>174.97000120000001</v>
      </c>
      <c r="G1118" s="5">
        <v>177.0599976</v>
      </c>
      <c r="H1118" s="5">
        <v>172.7599945</v>
      </c>
      <c r="I1118" s="5">
        <v>175.0099945</v>
      </c>
      <c r="J1118" s="5">
        <v>23779200</v>
      </c>
      <c r="K1118" s="5">
        <v>174.57798769999999</v>
      </c>
      <c r="R1118" s="1">
        <f t="shared" si="72"/>
        <v>45461</v>
      </c>
    </row>
    <row r="1119" spans="1:18" hidden="1">
      <c r="A1119" s="4">
        <v>45455</v>
      </c>
      <c r="B1119" s="5">
        <f t="shared" si="68"/>
        <v>12</v>
      </c>
      <c r="C1119" s="5">
        <f t="shared" si="69"/>
        <v>6</v>
      </c>
      <c r="D1119" s="5">
        <f t="shared" si="70"/>
        <v>2024</v>
      </c>
      <c r="E1119" s="5" t="str">
        <f t="shared" si="71"/>
        <v>Q2</v>
      </c>
      <c r="F1119" s="5">
        <v>176.22000120000001</v>
      </c>
      <c r="G1119" s="5">
        <v>176.8399963</v>
      </c>
      <c r="H1119" s="5">
        <v>173.77000430000001</v>
      </c>
      <c r="I1119" s="5">
        <v>176.61999510000001</v>
      </c>
      <c r="J1119" s="5">
        <v>21540600</v>
      </c>
      <c r="K1119" s="5">
        <v>176.184021</v>
      </c>
      <c r="R1119" s="1">
        <f t="shared" si="72"/>
        <v>45462</v>
      </c>
    </row>
    <row r="1120" spans="1:18" hidden="1">
      <c r="A1120" s="4">
        <v>45456</v>
      </c>
      <c r="B1120" s="5">
        <f t="shared" si="68"/>
        <v>13</v>
      </c>
      <c r="C1120" s="5">
        <f t="shared" si="69"/>
        <v>6</v>
      </c>
      <c r="D1120" s="5">
        <f t="shared" si="70"/>
        <v>2024</v>
      </c>
      <c r="E1120" s="5" t="str">
        <f t="shared" si="71"/>
        <v>Q2</v>
      </c>
      <c r="F1120" s="5">
        <v>178.25</v>
      </c>
      <c r="G1120" s="5">
        <v>180.4100037</v>
      </c>
      <c r="H1120" s="5">
        <v>176.11000060000001</v>
      </c>
      <c r="I1120" s="5">
        <v>177.78999329999999</v>
      </c>
      <c r="J1120" s="5">
        <v>27864700</v>
      </c>
      <c r="K1120" s="5">
        <v>177.35113530000001</v>
      </c>
      <c r="R1120" s="1">
        <f t="shared" si="72"/>
        <v>45463</v>
      </c>
    </row>
    <row r="1121" spans="1:18" hidden="1">
      <c r="A1121" s="4">
        <v>45457</v>
      </c>
      <c r="B1121" s="5">
        <f t="shared" si="68"/>
        <v>14</v>
      </c>
      <c r="C1121" s="5">
        <f t="shared" si="69"/>
        <v>6</v>
      </c>
      <c r="D1121" s="5">
        <f t="shared" si="70"/>
        <v>2024</v>
      </c>
      <c r="E1121" s="5" t="str">
        <f t="shared" si="71"/>
        <v>Q2</v>
      </c>
      <c r="F1121" s="5">
        <v>176.11000060000001</v>
      </c>
      <c r="G1121" s="5">
        <v>176.7400055</v>
      </c>
      <c r="H1121" s="5">
        <v>174.88000489999999</v>
      </c>
      <c r="I1121" s="5">
        <v>175.1600037</v>
      </c>
      <c r="J1121" s="5">
        <v>20913300</v>
      </c>
      <c r="K1121" s="5">
        <v>174.7276306</v>
      </c>
      <c r="R1121" s="1">
        <f t="shared" si="72"/>
        <v>45464</v>
      </c>
    </row>
    <row r="1122" spans="1:18" hidden="1">
      <c r="A1122" s="4">
        <v>45460</v>
      </c>
      <c r="B1122" s="5">
        <f t="shared" si="68"/>
        <v>17</v>
      </c>
      <c r="C1122" s="5">
        <f t="shared" si="69"/>
        <v>6</v>
      </c>
      <c r="D1122" s="5">
        <f t="shared" si="70"/>
        <v>2024</v>
      </c>
      <c r="E1122" s="5" t="str">
        <f t="shared" si="71"/>
        <v>Q2</v>
      </c>
      <c r="F1122" s="5">
        <v>174.22000120000001</v>
      </c>
      <c r="G1122" s="5">
        <v>177.0599976</v>
      </c>
      <c r="H1122" s="5">
        <v>174.1499939</v>
      </c>
      <c r="I1122" s="5">
        <v>176.78999329999999</v>
      </c>
      <c r="J1122" s="5">
        <v>18063600</v>
      </c>
      <c r="K1122" s="5">
        <v>176.3536072</v>
      </c>
      <c r="R1122" s="1">
        <f t="shared" si="72"/>
        <v>45467</v>
      </c>
    </row>
    <row r="1123" spans="1:18" hidden="1">
      <c r="A1123" s="4">
        <v>45461</v>
      </c>
      <c r="B1123" s="5">
        <f t="shared" si="68"/>
        <v>18</v>
      </c>
      <c r="C1123" s="5">
        <f t="shared" si="69"/>
        <v>6</v>
      </c>
      <c r="D1123" s="5">
        <f t="shared" si="70"/>
        <v>2024</v>
      </c>
      <c r="E1123" s="5" t="str">
        <f t="shared" si="71"/>
        <v>Q2</v>
      </c>
      <c r="F1123" s="5">
        <v>175.46000670000001</v>
      </c>
      <c r="G1123" s="5">
        <v>178.36000060000001</v>
      </c>
      <c r="H1123" s="5">
        <v>174.8099976</v>
      </c>
      <c r="I1123" s="5">
        <v>177.2400055</v>
      </c>
      <c r="J1123" s="5">
        <v>19618500</v>
      </c>
      <c r="K1123" s="5">
        <v>176.8025055</v>
      </c>
      <c r="R1123" s="1">
        <f t="shared" si="72"/>
        <v>45468</v>
      </c>
    </row>
    <row r="1124" spans="1:18" hidden="1">
      <c r="A1124" s="4">
        <v>45463</v>
      </c>
      <c r="B1124" s="5">
        <f t="shared" si="68"/>
        <v>20</v>
      </c>
      <c r="C1124" s="5">
        <f t="shared" si="69"/>
        <v>6</v>
      </c>
      <c r="D1124" s="5">
        <f t="shared" si="70"/>
        <v>2024</v>
      </c>
      <c r="E1124" s="5" t="str">
        <f t="shared" si="71"/>
        <v>Q2</v>
      </c>
      <c r="F1124" s="5">
        <v>177.13999939999999</v>
      </c>
      <c r="G1124" s="5">
        <v>177.38999939999999</v>
      </c>
      <c r="H1124" s="5">
        <v>174.1000061</v>
      </c>
      <c r="I1124" s="5">
        <v>175.0899963</v>
      </c>
      <c r="J1124" s="5">
        <v>21869900</v>
      </c>
      <c r="K1124" s="5">
        <v>174.6577911</v>
      </c>
      <c r="R1124" s="1">
        <f t="shared" si="72"/>
        <v>45470</v>
      </c>
    </row>
    <row r="1125" spans="1:18" hidden="1">
      <c r="A1125" s="4">
        <v>45464</v>
      </c>
      <c r="B1125" s="5">
        <f t="shared" si="68"/>
        <v>21</v>
      </c>
      <c r="C1125" s="5">
        <f t="shared" si="69"/>
        <v>6</v>
      </c>
      <c r="D1125" s="5">
        <f t="shared" si="70"/>
        <v>2024</v>
      </c>
      <c r="E1125" s="5" t="str">
        <f t="shared" si="71"/>
        <v>Q2</v>
      </c>
      <c r="F1125" s="5">
        <v>175.36999510000001</v>
      </c>
      <c r="G1125" s="5">
        <v>177.28999329999999</v>
      </c>
      <c r="H1125" s="5">
        <v>174.9900055</v>
      </c>
      <c r="I1125" s="5">
        <v>176.3000031</v>
      </c>
      <c r="J1125" s="5">
        <v>20160100</v>
      </c>
      <c r="K1125" s="5">
        <v>175.86480710000001</v>
      </c>
      <c r="R1125" s="1">
        <f t="shared" si="72"/>
        <v>45471</v>
      </c>
    </row>
    <row r="1126" spans="1:18" hidden="1">
      <c r="A1126" s="4">
        <v>45467</v>
      </c>
      <c r="B1126" s="5">
        <f t="shared" si="68"/>
        <v>24</v>
      </c>
      <c r="C1126" s="5">
        <f t="shared" si="69"/>
        <v>6</v>
      </c>
      <c r="D1126" s="5">
        <f t="shared" si="70"/>
        <v>2024</v>
      </c>
      <c r="E1126" s="5" t="str">
        <f t="shared" si="71"/>
        <v>Q2</v>
      </c>
      <c r="F1126" s="5">
        <v>177</v>
      </c>
      <c r="G1126" s="5">
        <v>180.8500061</v>
      </c>
      <c r="H1126" s="5">
        <v>176.61000060000001</v>
      </c>
      <c r="I1126" s="5">
        <v>179.63000489999999</v>
      </c>
      <c r="J1126" s="5">
        <v>58582700</v>
      </c>
      <c r="K1126" s="5">
        <v>179.18659969999999</v>
      </c>
      <c r="R1126" s="1">
        <f t="shared" si="72"/>
        <v>45474</v>
      </c>
    </row>
    <row r="1127" spans="1:18" hidden="1">
      <c r="A1127" s="4">
        <v>45468</v>
      </c>
      <c r="B1127" s="5">
        <f t="shared" si="68"/>
        <v>25</v>
      </c>
      <c r="C1127" s="5">
        <f t="shared" si="69"/>
        <v>6</v>
      </c>
      <c r="D1127" s="5">
        <f t="shared" si="70"/>
        <v>2024</v>
      </c>
      <c r="E1127" s="5" t="str">
        <f t="shared" si="71"/>
        <v>Q2</v>
      </c>
      <c r="F1127" s="5">
        <v>180.1600037</v>
      </c>
      <c r="G1127" s="5">
        <v>180.88999939999999</v>
      </c>
      <c r="H1127" s="5">
        <v>178.66999820000001</v>
      </c>
      <c r="I1127" s="5">
        <v>179.22000120000001</v>
      </c>
      <c r="J1127" s="5">
        <v>18298000</v>
      </c>
      <c r="K1127" s="5">
        <v>178.77760309999999</v>
      </c>
      <c r="R1127" s="1">
        <f t="shared" si="72"/>
        <v>45475</v>
      </c>
    </row>
    <row r="1128" spans="1:18" hidden="1">
      <c r="A1128" s="4">
        <v>45469</v>
      </c>
      <c r="B1128" s="5">
        <f t="shared" si="68"/>
        <v>26</v>
      </c>
      <c r="C1128" s="5">
        <f t="shared" si="69"/>
        <v>6</v>
      </c>
      <c r="D1128" s="5">
        <f t="shared" si="70"/>
        <v>2024</v>
      </c>
      <c r="E1128" s="5" t="str">
        <f t="shared" si="71"/>
        <v>Q2</v>
      </c>
      <c r="F1128" s="5">
        <v>179.61999510000001</v>
      </c>
      <c r="G1128" s="5">
        <v>184.28999329999999</v>
      </c>
      <c r="H1128" s="5">
        <v>179.41999820000001</v>
      </c>
      <c r="I1128" s="5">
        <v>184.02999879999999</v>
      </c>
      <c r="J1128" s="5">
        <v>23235600</v>
      </c>
      <c r="K1128" s="5">
        <v>183.5757294</v>
      </c>
      <c r="R1128" s="1">
        <f t="shared" si="72"/>
        <v>45476</v>
      </c>
    </row>
    <row r="1129" spans="1:18" hidden="1">
      <c r="A1129" s="4">
        <v>45470</v>
      </c>
      <c r="B1129" s="5">
        <f t="shared" si="68"/>
        <v>27</v>
      </c>
      <c r="C1129" s="5">
        <f t="shared" si="69"/>
        <v>6</v>
      </c>
      <c r="D1129" s="5">
        <f t="shared" si="70"/>
        <v>2024</v>
      </c>
      <c r="E1129" s="5" t="str">
        <f t="shared" si="71"/>
        <v>Q2</v>
      </c>
      <c r="F1129" s="5">
        <v>182.63000489999999</v>
      </c>
      <c r="G1129" s="5">
        <v>184.5099945</v>
      </c>
      <c r="H1129" s="5">
        <v>182.47999569999999</v>
      </c>
      <c r="I1129" s="5">
        <v>183.88000489999999</v>
      </c>
      <c r="J1129" s="5">
        <v>19839000</v>
      </c>
      <c r="K1129" s="5">
        <v>183.42611690000001</v>
      </c>
      <c r="R1129" s="1">
        <f t="shared" si="72"/>
        <v>45477</v>
      </c>
    </row>
    <row r="1130" spans="1:18" hidden="1">
      <c r="A1130" s="4">
        <v>45471</v>
      </c>
      <c r="B1130" s="5">
        <f t="shared" si="68"/>
        <v>28</v>
      </c>
      <c r="C1130" s="5">
        <f t="shared" si="69"/>
        <v>6</v>
      </c>
      <c r="D1130" s="5">
        <f t="shared" si="70"/>
        <v>2024</v>
      </c>
      <c r="E1130" s="5" t="str">
        <f t="shared" si="71"/>
        <v>Q2</v>
      </c>
      <c r="F1130" s="5">
        <v>184.17999270000001</v>
      </c>
      <c r="G1130" s="5">
        <v>186.0500031</v>
      </c>
      <c r="H1130" s="5">
        <v>184.02000430000001</v>
      </c>
      <c r="I1130" s="5">
        <v>185.4100037</v>
      </c>
      <c r="J1130" s="5">
        <v>18848900</v>
      </c>
      <c r="K1130" s="5">
        <v>184.95233150000001</v>
      </c>
      <c r="R1130" s="1">
        <f t="shared" si="72"/>
        <v>45478</v>
      </c>
    </row>
    <row r="1131" spans="1:18" hidden="1">
      <c r="A1131" s="4">
        <v>45474</v>
      </c>
      <c r="B1131" s="5">
        <f t="shared" si="68"/>
        <v>1</v>
      </c>
      <c r="C1131" s="5">
        <f t="shared" si="69"/>
        <v>7</v>
      </c>
      <c r="D1131" s="5">
        <f t="shared" si="70"/>
        <v>2024</v>
      </c>
      <c r="E1131" s="5" t="str">
        <f t="shared" si="71"/>
        <v>Q3</v>
      </c>
      <c r="F1131" s="5">
        <v>184.32000729999999</v>
      </c>
      <c r="G1131" s="5">
        <v>185.13000489999999</v>
      </c>
      <c r="H1131" s="5">
        <v>181.96000670000001</v>
      </c>
      <c r="I1131" s="5">
        <v>182.1499939</v>
      </c>
      <c r="J1131" s="5">
        <v>29156600</v>
      </c>
      <c r="K1131" s="5">
        <v>181.7003632</v>
      </c>
      <c r="R1131" s="1">
        <f t="shared" si="72"/>
        <v>45481</v>
      </c>
    </row>
    <row r="1132" spans="1:18" hidden="1">
      <c r="A1132" s="4">
        <v>45475</v>
      </c>
      <c r="B1132" s="5">
        <f t="shared" si="68"/>
        <v>2</v>
      </c>
      <c r="C1132" s="5">
        <f t="shared" si="69"/>
        <v>7</v>
      </c>
      <c r="D1132" s="5">
        <f t="shared" si="70"/>
        <v>2024</v>
      </c>
      <c r="E1132" s="5" t="str">
        <f t="shared" si="71"/>
        <v>Q3</v>
      </c>
      <c r="F1132" s="5">
        <v>183.02999879999999</v>
      </c>
      <c r="G1132" s="5">
        <v>183.88000489999999</v>
      </c>
      <c r="H1132" s="5">
        <v>181.3000031</v>
      </c>
      <c r="I1132" s="5">
        <v>182.9900055</v>
      </c>
      <c r="J1132" s="5">
        <v>16006100</v>
      </c>
      <c r="K1132" s="5">
        <v>182.53829959999999</v>
      </c>
      <c r="R1132" s="1">
        <f t="shared" si="72"/>
        <v>45482</v>
      </c>
    </row>
    <row r="1133" spans="1:18" hidden="1">
      <c r="A1133" s="4">
        <v>45476</v>
      </c>
      <c r="B1133" s="5">
        <f t="shared" si="68"/>
        <v>3</v>
      </c>
      <c r="C1133" s="5">
        <f t="shared" si="69"/>
        <v>7</v>
      </c>
      <c r="D1133" s="5">
        <f t="shared" si="70"/>
        <v>2024</v>
      </c>
      <c r="E1133" s="5" t="str">
        <f t="shared" si="71"/>
        <v>Q3</v>
      </c>
      <c r="F1133" s="5">
        <v>182.0500031</v>
      </c>
      <c r="G1133" s="5">
        <v>185.57000729999999</v>
      </c>
      <c r="H1133" s="5">
        <v>181.5599976</v>
      </c>
      <c r="I1133" s="5">
        <v>185.2400055</v>
      </c>
      <c r="J1133" s="5">
        <v>17372500</v>
      </c>
      <c r="K1133" s="5">
        <v>184.78276059999999</v>
      </c>
      <c r="R1133" s="1">
        <f t="shared" si="72"/>
        <v>45483</v>
      </c>
    </row>
    <row r="1134" spans="1:18" hidden="1">
      <c r="A1134" s="4">
        <v>45478</v>
      </c>
      <c r="B1134" s="5">
        <f t="shared" si="68"/>
        <v>5</v>
      </c>
      <c r="C1134" s="5">
        <f t="shared" si="69"/>
        <v>7</v>
      </c>
      <c r="D1134" s="5">
        <f t="shared" si="70"/>
        <v>2024</v>
      </c>
      <c r="E1134" s="5" t="str">
        <f t="shared" si="71"/>
        <v>Q3</v>
      </c>
      <c r="F1134" s="5">
        <v>184.8500061</v>
      </c>
      <c r="G1134" s="5">
        <v>186.0899963</v>
      </c>
      <c r="H1134" s="5">
        <v>184</v>
      </c>
      <c r="I1134" s="5">
        <v>185.82000729999999</v>
      </c>
      <c r="J1134" s="5">
        <v>10242100</v>
      </c>
      <c r="K1134" s="5">
        <v>185.3613129</v>
      </c>
      <c r="R1134" s="1">
        <f t="shared" si="72"/>
        <v>45485</v>
      </c>
    </row>
    <row r="1135" spans="1:18" hidden="1">
      <c r="A1135" s="4">
        <v>45481</v>
      </c>
      <c r="B1135" s="5">
        <f t="shared" si="68"/>
        <v>8</v>
      </c>
      <c r="C1135" s="5">
        <f t="shared" si="69"/>
        <v>7</v>
      </c>
      <c r="D1135" s="5">
        <f t="shared" si="70"/>
        <v>2024</v>
      </c>
      <c r="E1135" s="5" t="str">
        <f t="shared" si="71"/>
        <v>Q3</v>
      </c>
      <c r="F1135" s="5">
        <v>185.86000060000001</v>
      </c>
      <c r="G1135" s="5">
        <v>190.86000060000001</v>
      </c>
      <c r="H1135" s="5">
        <v>185.8000031</v>
      </c>
      <c r="I1135" s="5">
        <v>190.6000061</v>
      </c>
      <c r="J1135" s="5">
        <v>20967500</v>
      </c>
      <c r="K1135" s="5">
        <v>190.12953189999999</v>
      </c>
      <c r="R1135" s="1">
        <f t="shared" si="72"/>
        <v>45488</v>
      </c>
    </row>
    <row r="1136" spans="1:18" hidden="1">
      <c r="A1136" s="4">
        <v>45482</v>
      </c>
      <c r="B1136" s="5">
        <f t="shared" si="68"/>
        <v>9</v>
      </c>
      <c r="C1136" s="5">
        <f t="shared" si="69"/>
        <v>7</v>
      </c>
      <c r="D1136" s="5">
        <f t="shared" si="70"/>
        <v>2024</v>
      </c>
      <c r="E1136" s="5" t="str">
        <f t="shared" si="71"/>
        <v>Q3</v>
      </c>
      <c r="F1136" s="5">
        <v>189.8999939</v>
      </c>
      <c r="G1136" s="5">
        <v>190.16999820000001</v>
      </c>
      <c r="H1136" s="5">
        <v>187.77999879999999</v>
      </c>
      <c r="I1136" s="5">
        <v>189.02999879999999</v>
      </c>
      <c r="J1136" s="5">
        <v>21035900</v>
      </c>
      <c r="K1136" s="5">
        <v>188.56338500000001</v>
      </c>
      <c r="R1136" s="1">
        <f t="shared" si="72"/>
        <v>45489</v>
      </c>
    </row>
    <row r="1137" spans="1:18" hidden="1">
      <c r="A1137" s="4">
        <v>45483</v>
      </c>
      <c r="B1137" s="5">
        <f t="shared" si="68"/>
        <v>10</v>
      </c>
      <c r="C1137" s="5">
        <f t="shared" si="69"/>
        <v>7</v>
      </c>
      <c r="D1137" s="5">
        <f t="shared" si="70"/>
        <v>2024</v>
      </c>
      <c r="E1137" s="5" t="str">
        <f t="shared" si="71"/>
        <v>Q3</v>
      </c>
      <c r="F1137" s="5">
        <v>190.3099976</v>
      </c>
      <c r="G1137" s="5">
        <v>191.36000060000001</v>
      </c>
      <c r="H1137" s="5">
        <v>188.72000120000001</v>
      </c>
      <c r="I1137" s="5">
        <v>188.97999569999999</v>
      </c>
      <c r="J1137" s="5">
        <v>15121400</v>
      </c>
      <c r="K1137" s="5">
        <v>188.51350400000001</v>
      </c>
      <c r="R1137" s="1">
        <f t="shared" si="72"/>
        <v>45490</v>
      </c>
    </row>
    <row r="1138" spans="1:18" hidden="1">
      <c r="A1138" s="4">
        <v>45484</v>
      </c>
      <c r="B1138" s="5">
        <f t="shared" si="68"/>
        <v>11</v>
      </c>
      <c r="C1138" s="5">
        <f t="shared" si="69"/>
        <v>7</v>
      </c>
      <c r="D1138" s="5">
        <f t="shared" si="70"/>
        <v>2024</v>
      </c>
      <c r="E1138" s="5" t="str">
        <f t="shared" si="71"/>
        <v>Q3</v>
      </c>
      <c r="F1138" s="5">
        <v>189.1499939</v>
      </c>
      <c r="G1138" s="5">
        <v>191.75</v>
      </c>
      <c r="H1138" s="5">
        <v>189.02999879999999</v>
      </c>
      <c r="I1138" s="5">
        <v>191.17999270000001</v>
      </c>
      <c r="J1138" s="5">
        <v>15952500</v>
      </c>
      <c r="K1138" s="5">
        <v>190.70806880000001</v>
      </c>
      <c r="R1138" s="1">
        <f t="shared" si="72"/>
        <v>45491</v>
      </c>
    </row>
    <row r="1139" spans="1:18" hidden="1">
      <c r="A1139" s="4">
        <v>45485</v>
      </c>
      <c r="B1139" s="5">
        <f t="shared" si="68"/>
        <v>12</v>
      </c>
      <c r="C1139" s="5">
        <f t="shared" si="69"/>
        <v>7</v>
      </c>
      <c r="D1139" s="5">
        <f t="shared" si="70"/>
        <v>2024</v>
      </c>
      <c r="E1139" s="5" t="str">
        <f t="shared" si="71"/>
        <v>Q3</v>
      </c>
      <c r="F1139" s="5">
        <v>189.8500061</v>
      </c>
      <c r="G1139" s="5">
        <v>190.86000060000001</v>
      </c>
      <c r="H1139" s="5">
        <v>185.08000179999999</v>
      </c>
      <c r="I1139" s="5">
        <v>185.57000729999999</v>
      </c>
      <c r="J1139" s="5">
        <v>25625800</v>
      </c>
      <c r="K1139" s="5">
        <v>185.11193850000001</v>
      </c>
      <c r="R1139" s="1">
        <f t="shared" si="72"/>
        <v>45492</v>
      </c>
    </row>
    <row r="1140" spans="1:18" hidden="1">
      <c r="A1140" s="4">
        <v>45488</v>
      </c>
      <c r="B1140" s="5">
        <f t="shared" si="68"/>
        <v>15</v>
      </c>
      <c r="C1140" s="5">
        <f t="shared" si="69"/>
        <v>7</v>
      </c>
      <c r="D1140" s="5">
        <f t="shared" si="70"/>
        <v>2024</v>
      </c>
      <c r="E1140" s="5" t="str">
        <f t="shared" si="71"/>
        <v>Q3</v>
      </c>
      <c r="F1140" s="5">
        <v>185.08000179999999</v>
      </c>
      <c r="G1140" s="5">
        <v>187.11000060000001</v>
      </c>
      <c r="H1140" s="5">
        <v>184.4900055</v>
      </c>
      <c r="I1140" s="5">
        <v>185.07000729999999</v>
      </c>
      <c r="J1140" s="5">
        <v>22898400</v>
      </c>
      <c r="K1140" s="5">
        <v>184.61317439999999</v>
      </c>
      <c r="R1140" s="1">
        <f t="shared" si="72"/>
        <v>45495</v>
      </c>
    </row>
    <row r="1141" spans="1:18" hidden="1">
      <c r="A1141" s="4">
        <v>45489</v>
      </c>
      <c r="B1141" s="5">
        <f t="shared" si="68"/>
        <v>16</v>
      </c>
      <c r="C1141" s="5">
        <f t="shared" si="69"/>
        <v>7</v>
      </c>
      <c r="D1141" s="5">
        <f t="shared" si="70"/>
        <v>2024</v>
      </c>
      <c r="E1141" s="5" t="str">
        <f t="shared" si="71"/>
        <v>Q3</v>
      </c>
      <c r="F1141" s="5">
        <v>184.91999820000001</v>
      </c>
      <c r="G1141" s="5">
        <v>188.2400055</v>
      </c>
      <c r="H1141" s="5">
        <v>184.91999820000001</v>
      </c>
      <c r="I1141" s="5">
        <v>186.52999879999999</v>
      </c>
      <c r="J1141" s="5">
        <v>16474000</v>
      </c>
      <c r="K1141" s="5">
        <v>186.06956479999999</v>
      </c>
      <c r="R1141" s="1">
        <f t="shared" ref="R1141:R1168" si="73">A1141+7</f>
        <v>45496</v>
      </c>
    </row>
    <row r="1142" spans="1:18" hidden="1">
      <c r="A1142" s="4">
        <v>45490</v>
      </c>
      <c r="B1142" s="5">
        <f t="shared" si="68"/>
        <v>17</v>
      </c>
      <c r="C1142" s="5">
        <f t="shared" si="69"/>
        <v>7</v>
      </c>
      <c r="D1142" s="5">
        <f t="shared" si="70"/>
        <v>2024</v>
      </c>
      <c r="E1142" s="5" t="str">
        <f t="shared" si="71"/>
        <v>Q3</v>
      </c>
      <c r="F1142" s="5">
        <v>187.36000060000001</v>
      </c>
      <c r="G1142" s="5">
        <v>188.67999270000001</v>
      </c>
      <c r="H1142" s="5">
        <v>183.36999510000001</v>
      </c>
      <c r="I1142" s="5">
        <v>183.91999820000001</v>
      </c>
      <c r="J1142" s="5">
        <v>18290700</v>
      </c>
      <c r="K1142" s="5">
        <v>183.46600340000001</v>
      </c>
      <c r="R1142" s="1">
        <f t="shared" si="73"/>
        <v>45497</v>
      </c>
    </row>
    <row r="1143" spans="1:18" hidden="1">
      <c r="A1143" s="4">
        <v>45491</v>
      </c>
      <c r="B1143" s="5">
        <f t="shared" si="68"/>
        <v>18</v>
      </c>
      <c r="C1143" s="5">
        <f t="shared" si="69"/>
        <v>7</v>
      </c>
      <c r="D1143" s="5">
        <f t="shared" si="70"/>
        <v>2024</v>
      </c>
      <c r="E1143" s="5" t="str">
        <f t="shared" si="71"/>
        <v>Q3</v>
      </c>
      <c r="F1143" s="5">
        <v>182.97000120000001</v>
      </c>
      <c r="G1143" s="5">
        <v>183.5500031</v>
      </c>
      <c r="H1143" s="5">
        <v>179.8999939</v>
      </c>
      <c r="I1143" s="5">
        <v>181.02000430000001</v>
      </c>
      <c r="J1143" s="5">
        <v>20734100</v>
      </c>
      <c r="K1143" s="5">
        <v>180.57316589999999</v>
      </c>
      <c r="R1143" s="1">
        <f t="shared" si="73"/>
        <v>45498</v>
      </c>
    </row>
    <row r="1144" spans="1:18" hidden="1">
      <c r="A1144" s="4">
        <v>45492</v>
      </c>
      <c r="B1144" s="5">
        <f t="shared" si="68"/>
        <v>19</v>
      </c>
      <c r="C1144" s="5">
        <f t="shared" si="69"/>
        <v>7</v>
      </c>
      <c r="D1144" s="5">
        <f t="shared" si="70"/>
        <v>2024</v>
      </c>
      <c r="E1144" s="5" t="str">
        <f t="shared" si="71"/>
        <v>Q3</v>
      </c>
      <c r="F1144" s="5">
        <v>181.92999270000001</v>
      </c>
      <c r="G1144" s="5">
        <v>182.5</v>
      </c>
      <c r="H1144" s="5">
        <v>176.47000120000001</v>
      </c>
      <c r="I1144" s="5">
        <v>177.6900024</v>
      </c>
      <c r="J1144" s="5">
        <v>25315700</v>
      </c>
      <c r="K1144" s="5">
        <v>177.25138849999999</v>
      </c>
      <c r="R1144" s="1">
        <f t="shared" si="73"/>
        <v>45499</v>
      </c>
    </row>
    <row r="1145" spans="1:18" hidden="1">
      <c r="A1145" s="4">
        <v>45495</v>
      </c>
      <c r="B1145" s="5">
        <f t="shared" si="68"/>
        <v>22</v>
      </c>
      <c r="C1145" s="5">
        <f t="shared" si="69"/>
        <v>7</v>
      </c>
      <c r="D1145" s="5">
        <f t="shared" si="70"/>
        <v>2024</v>
      </c>
      <c r="E1145" s="5" t="str">
        <f t="shared" si="71"/>
        <v>Q3</v>
      </c>
      <c r="F1145" s="5">
        <v>178.88000489999999</v>
      </c>
      <c r="G1145" s="5">
        <v>180.28999329999999</v>
      </c>
      <c r="H1145" s="5">
        <v>177.13000489999999</v>
      </c>
      <c r="I1145" s="5">
        <v>177.6600037</v>
      </c>
      <c r="J1145" s="5">
        <v>18881900</v>
      </c>
      <c r="K1145" s="5">
        <v>177.22145080000001</v>
      </c>
      <c r="R1145" s="1">
        <f t="shared" si="73"/>
        <v>45502</v>
      </c>
    </row>
    <row r="1146" spans="1:18" hidden="1">
      <c r="A1146" s="4">
        <v>45496</v>
      </c>
      <c r="B1146" s="5">
        <f t="shared" si="68"/>
        <v>23</v>
      </c>
      <c r="C1146" s="5">
        <f t="shared" si="69"/>
        <v>7</v>
      </c>
      <c r="D1146" s="5">
        <f t="shared" si="70"/>
        <v>2024</v>
      </c>
      <c r="E1146" s="5" t="str">
        <f t="shared" si="71"/>
        <v>Q3</v>
      </c>
      <c r="F1146" s="5">
        <v>180.5899963</v>
      </c>
      <c r="G1146" s="5">
        <v>182.6999969</v>
      </c>
      <c r="H1146" s="5">
        <v>180.22999569999999</v>
      </c>
      <c r="I1146" s="5">
        <v>181.66999820000001</v>
      </c>
      <c r="J1146" s="5">
        <v>24100300</v>
      </c>
      <c r="K1146" s="5">
        <v>181.2215424</v>
      </c>
      <c r="R1146" s="1">
        <f t="shared" si="73"/>
        <v>45503</v>
      </c>
    </row>
    <row r="1147" spans="1:18" hidden="1">
      <c r="A1147" s="4">
        <v>45497</v>
      </c>
      <c r="B1147" s="5">
        <f t="shared" si="68"/>
        <v>24</v>
      </c>
      <c r="C1147" s="5">
        <f t="shared" si="69"/>
        <v>7</v>
      </c>
      <c r="D1147" s="5">
        <f t="shared" si="70"/>
        <v>2024</v>
      </c>
      <c r="E1147" s="5" t="str">
        <f t="shared" si="71"/>
        <v>Q3</v>
      </c>
      <c r="F1147" s="5">
        <v>182.0500031</v>
      </c>
      <c r="G1147" s="5">
        <v>183.61000060000001</v>
      </c>
      <c r="H1147" s="5">
        <v>181.53999329999999</v>
      </c>
      <c r="I1147" s="5">
        <v>181.78999329999999</v>
      </c>
      <c r="J1147" s="5">
        <v>36352700</v>
      </c>
      <c r="K1147" s="5">
        <v>181.3412476</v>
      </c>
      <c r="R1147" s="1">
        <f t="shared" si="73"/>
        <v>45504</v>
      </c>
    </row>
    <row r="1148" spans="1:18" hidden="1">
      <c r="A1148" s="4">
        <v>45498</v>
      </c>
      <c r="B1148" s="5">
        <f t="shared" si="68"/>
        <v>25</v>
      </c>
      <c r="C1148" s="5">
        <f t="shared" si="69"/>
        <v>7</v>
      </c>
      <c r="D1148" s="5">
        <f t="shared" si="70"/>
        <v>2024</v>
      </c>
      <c r="E1148" s="5" t="str">
        <f t="shared" si="71"/>
        <v>Q3</v>
      </c>
      <c r="F1148" s="5">
        <v>173.6000061</v>
      </c>
      <c r="G1148" s="5">
        <v>176.1900024</v>
      </c>
      <c r="H1148" s="5">
        <v>171.82000729999999</v>
      </c>
      <c r="I1148" s="5">
        <v>172.63000489999999</v>
      </c>
      <c r="J1148" s="5">
        <v>49585200</v>
      </c>
      <c r="K1148" s="5">
        <v>172.20388790000001</v>
      </c>
      <c r="R1148" s="1">
        <f t="shared" si="73"/>
        <v>45505</v>
      </c>
    </row>
    <row r="1149" spans="1:18" hidden="1">
      <c r="A1149" s="4">
        <v>45499</v>
      </c>
      <c r="B1149" s="5">
        <f t="shared" si="68"/>
        <v>26</v>
      </c>
      <c r="C1149" s="5">
        <f t="shared" si="69"/>
        <v>7</v>
      </c>
      <c r="D1149" s="5">
        <f t="shared" si="70"/>
        <v>2024</v>
      </c>
      <c r="E1149" s="5" t="str">
        <f t="shared" si="71"/>
        <v>Q3</v>
      </c>
      <c r="F1149" s="5">
        <v>172.52000430000001</v>
      </c>
      <c r="G1149" s="5">
        <v>173.41999820000001</v>
      </c>
      <c r="H1149" s="5">
        <v>167.1900024</v>
      </c>
      <c r="I1149" s="5">
        <v>167.27999879999999</v>
      </c>
      <c r="J1149" s="5">
        <v>44852000</v>
      </c>
      <c r="K1149" s="5">
        <v>166.8670807</v>
      </c>
      <c r="R1149" s="1">
        <f t="shared" si="73"/>
        <v>45506</v>
      </c>
    </row>
    <row r="1150" spans="1:18" hidden="1">
      <c r="A1150" s="4">
        <v>45502</v>
      </c>
      <c r="B1150" s="5">
        <f t="shared" si="68"/>
        <v>29</v>
      </c>
      <c r="C1150" s="5">
        <f t="shared" si="69"/>
        <v>7</v>
      </c>
      <c r="D1150" s="5">
        <f t="shared" si="70"/>
        <v>2024</v>
      </c>
      <c r="E1150" s="5" t="str">
        <f t="shared" si="71"/>
        <v>Q3</v>
      </c>
      <c r="F1150" s="5">
        <v>167.1499939</v>
      </c>
      <c r="G1150" s="5">
        <v>168.0899963</v>
      </c>
      <c r="H1150" s="5">
        <v>164.0599976</v>
      </c>
      <c r="I1150" s="5">
        <v>167</v>
      </c>
      <c r="J1150" s="5">
        <v>41336900</v>
      </c>
      <c r="K1150" s="5">
        <v>166.5877686</v>
      </c>
      <c r="R1150" s="1">
        <f t="shared" si="73"/>
        <v>45509</v>
      </c>
    </row>
    <row r="1151" spans="1:18" hidden="1">
      <c r="A1151" s="4">
        <v>45503</v>
      </c>
      <c r="B1151" s="5">
        <f t="shared" si="68"/>
        <v>30</v>
      </c>
      <c r="C1151" s="5">
        <f t="shared" si="69"/>
        <v>7</v>
      </c>
      <c r="D1151" s="5">
        <f t="shared" si="70"/>
        <v>2024</v>
      </c>
      <c r="E1151" s="5" t="str">
        <f t="shared" si="71"/>
        <v>Q3</v>
      </c>
      <c r="F1151" s="5">
        <v>168.83000179999999</v>
      </c>
      <c r="G1151" s="5">
        <v>170.42999270000001</v>
      </c>
      <c r="H1151" s="5">
        <v>167.9900055</v>
      </c>
      <c r="I1151" s="5">
        <v>169.52999879999999</v>
      </c>
      <c r="J1151" s="5">
        <v>20293800</v>
      </c>
      <c r="K1151" s="5">
        <v>169.1115265</v>
      </c>
      <c r="R1151" s="1">
        <f t="shared" si="73"/>
        <v>45510</v>
      </c>
    </row>
    <row r="1152" spans="1:18" hidden="1">
      <c r="A1152" s="4">
        <v>45504</v>
      </c>
      <c r="B1152" s="5">
        <f t="shared" si="68"/>
        <v>31</v>
      </c>
      <c r="C1152" s="5">
        <f t="shared" si="69"/>
        <v>7</v>
      </c>
      <c r="D1152" s="5">
        <f t="shared" si="70"/>
        <v>2024</v>
      </c>
      <c r="E1152" s="5" t="str">
        <f t="shared" si="71"/>
        <v>Q3</v>
      </c>
      <c r="F1152" s="5">
        <v>170.2400055</v>
      </c>
      <c r="G1152" s="5">
        <v>171.22999569999999</v>
      </c>
      <c r="H1152" s="5">
        <v>168.4400024</v>
      </c>
      <c r="I1152" s="5">
        <v>170.28999329999999</v>
      </c>
      <c r="J1152" s="5">
        <v>18959700</v>
      </c>
      <c r="K1152" s="5">
        <v>169.86964420000001</v>
      </c>
      <c r="R1152" s="1">
        <f t="shared" si="73"/>
        <v>45511</v>
      </c>
    </row>
    <row r="1153" spans="1:18" hidden="1">
      <c r="A1153" s="4">
        <v>45505</v>
      </c>
      <c r="B1153" s="5">
        <f t="shared" si="68"/>
        <v>1</v>
      </c>
      <c r="C1153" s="5">
        <f t="shared" si="69"/>
        <v>8</v>
      </c>
      <c r="D1153" s="5">
        <f t="shared" si="70"/>
        <v>2024</v>
      </c>
      <c r="E1153" s="5" t="str">
        <f t="shared" si="71"/>
        <v>Q3</v>
      </c>
      <c r="F1153" s="5">
        <v>173.2400055</v>
      </c>
      <c r="G1153" s="5">
        <v>174.25</v>
      </c>
      <c r="H1153" s="5">
        <v>170.0099945</v>
      </c>
      <c r="I1153" s="5">
        <v>171.53999329999999</v>
      </c>
      <c r="J1153" s="5">
        <v>25729100</v>
      </c>
      <c r="K1153" s="5">
        <v>171.11654659999999</v>
      </c>
      <c r="R1153" s="1">
        <f t="shared" si="73"/>
        <v>45512</v>
      </c>
    </row>
    <row r="1154" spans="1:18" hidden="1">
      <c r="A1154" s="4">
        <v>45506</v>
      </c>
      <c r="B1154" s="5">
        <f t="shared" ref="B1154:B1217" si="74">DAY(A1154)</f>
        <v>2</v>
      </c>
      <c r="C1154" s="5">
        <f t="shared" ref="C1154:C1217" si="75">MONTH(A1154)</f>
        <v>8</v>
      </c>
      <c r="D1154" s="5">
        <f t="shared" ref="D1154:D1217" si="76">YEAR(A1154)</f>
        <v>2024</v>
      </c>
      <c r="E1154" s="5" t="str">
        <f t="shared" ref="E1154:E1217" si="77">"Q"&amp;ROUNDUP(MONTH(A1154)/3,0)</f>
        <v>Q3</v>
      </c>
      <c r="F1154" s="5">
        <v>170.25</v>
      </c>
      <c r="G1154" s="5">
        <v>174.0500031</v>
      </c>
      <c r="H1154" s="5">
        <v>168.88000489999999</v>
      </c>
      <c r="I1154" s="5">
        <v>170.7599945</v>
      </c>
      <c r="J1154" s="5">
        <v>24531400</v>
      </c>
      <c r="K1154" s="5">
        <v>170.33848570000001</v>
      </c>
      <c r="R1154" s="1">
        <f t="shared" si="73"/>
        <v>45513</v>
      </c>
    </row>
    <row r="1155" spans="1:18" hidden="1">
      <c r="A1155" s="4">
        <v>45509</v>
      </c>
      <c r="B1155" s="5">
        <f t="shared" si="74"/>
        <v>5</v>
      </c>
      <c r="C1155" s="5">
        <f t="shared" si="75"/>
        <v>8</v>
      </c>
      <c r="D1155" s="5">
        <f t="shared" si="76"/>
        <v>2024</v>
      </c>
      <c r="E1155" s="5" t="str">
        <f t="shared" si="77"/>
        <v>Q3</v>
      </c>
      <c r="F1155" s="5">
        <v>166.4400024</v>
      </c>
      <c r="G1155" s="5">
        <v>168.5099945</v>
      </c>
      <c r="H1155" s="5">
        <v>164.66999820000001</v>
      </c>
      <c r="I1155" s="5">
        <v>166.6600037</v>
      </c>
      <c r="J1155" s="5">
        <v>29130100</v>
      </c>
      <c r="K1155" s="5">
        <v>166.24862669999999</v>
      </c>
      <c r="R1155" s="1">
        <f t="shared" si="73"/>
        <v>45516</v>
      </c>
    </row>
    <row r="1156" spans="1:18" hidden="1">
      <c r="A1156" s="4">
        <v>45510</v>
      </c>
      <c r="B1156" s="5">
        <f t="shared" si="74"/>
        <v>6</v>
      </c>
      <c r="C1156" s="5">
        <f t="shared" si="75"/>
        <v>8</v>
      </c>
      <c r="D1156" s="5">
        <f t="shared" si="76"/>
        <v>2024</v>
      </c>
      <c r="E1156" s="5" t="str">
        <f t="shared" si="77"/>
        <v>Q3</v>
      </c>
      <c r="F1156" s="5">
        <v>155.5</v>
      </c>
      <c r="G1156" s="5">
        <v>164.42999270000001</v>
      </c>
      <c r="H1156" s="5">
        <v>154.92999270000001</v>
      </c>
      <c r="I1156" s="5">
        <v>159.25</v>
      </c>
      <c r="J1156" s="5">
        <v>53630700</v>
      </c>
      <c r="K1156" s="5">
        <v>158.85690310000001</v>
      </c>
      <c r="R1156" s="1">
        <f t="shared" si="73"/>
        <v>45517</v>
      </c>
    </row>
    <row r="1157" spans="1:18" hidden="1">
      <c r="A1157" s="4">
        <v>45511</v>
      </c>
      <c r="B1157" s="5">
        <f t="shared" si="74"/>
        <v>7</v>
      </c>
      <c r="C1157" s="5">
        <f t="shared" si="75"/>
        <v>8</v>
      </c>
      <c r="D1157" s="5">
        <f t="shared" si="76"/>
        <v>2024</v>
      </c>
      <c r="E1157" s="5" t="str">
        <f t="shared" si="77"/>
        <v>Q3</v>
      </c>
      <c r="F1157" s="5">
        <v>159.33000179999999</v>
      </c>
      <c r="G1157" s="5">
        <v>160.57000729999999</v>
      </c>
      <c r="H1157" s="5">
        <v>156.4100037</v>
      </c>
      <c r="I1157" s="5">
        <v>158.28999329999999</v>
      </c>
      <c r="J1157" s="5">
        <v>49004600</v>
      </c>
      <c r="K1157" s="5">
        <v>157.8992767</v>
      </c>
      <c r="R1157" s="1">
        <f t="shared" si="73"/>
        <v>45518</v>
      </c>
    </row>
    <row r="1158" spans="1:18" hidden="1">
      <c r="A1158" s="4">
        <v>45512</v>
      </c>
      <c r="B1158" s="5">
        <f t="shared" si="74"/>
        <v>8</v>
      </c>
      <c r="C1158" s="5">
        <f t="shared" si="75"/>
        <v>8</v>
      </c>
      <c r="D1158" s="5">
        <f t="shared" si="76"/>
        <v>2024</v>
      </c>
      <c r="E1158" s="5" t="str">
        <f t="shared" si="77"/>
        <v>Q3</v>
      </c>
      <c r="F1158" s="5">
        <v>161.25</v>
      </c>
      <c r="G1158" s="5">
        <v>162.97999569999999</v>
      </c>
      <c r="H1158" s="5">
        <v>158.47000120000001</v>
      </c>
      <c r="I1158" s="5">
        <v>158.9400024</v>
      </c>
      <c r="J1158" s="5">
        <v>25138600</v>
      </c>
      <c r="K1158" s="5">
        <v>158.54766849999999</v>
      </c>
      <c r="R1158" s="1">
        <f t="shared" si="73"/>
        <v>45519</v>
      </c>
    </row>
    <row r="1159" spans="1:18" hidden="1">
      <c r="A1159" s="4">
        <v>45513</v>
      </c>
      <c r="B1159" s="5">
        <f t="shared" si="74"/>
        <v>9</v>
      </c>
      <c r="C1159" s="5">
        <f t="shared" si="75"/>
        <v>8</v>
      </c>
      <c r="D1159" s="5">
        <f t="shared" si="76"/>
        <v>2024</v>
      </c>
      <c r="E1159" s="5" t="str">
        <f t="shared" si="77"/>
        <v>Q3</v>
      </c>
      <c r="F1159" s="5">
        <v>160.5099945</v>
      </c>
      <c r="G1159" s="5">
        <v>163.6900024</v>
      </c>
      <c r="H1159" s="5">
        <v>160.21000670000001</v>
      </c>
      <c r="I1159" s="5">
        <v>162.02999879999999</v>
      </c>
      <c r="J1159" s="5">
        <v>25578800</v>
      </c>
      <c r="K1159" s="5">
        <v>161.6300354</v>
      </c>
      <c r="R1159" s="1">
        <f t="shared" si="73"/>
        <v>45520</v>
      </c>
    </row>
    <row r="1160" spans="1:18" hidden="1">
      <c r="A1160" s="4">
        <v>45516</v>
      </c>
      <c r="B1160" s="5">
        <f t="shared" si="74"/>
        <v>12</v>
      </c>
      <c r="C1160" s="5">
        <f t="shared" si="75"/>
        <v>8</v>
      </c>
      <c r="D1160" s="5">
        <f t="shared" si="76"/>
        <v>2024</v>
      </c>
      <c r="E1160" s="5" t="str">
        <f t="shared" si="77"/>
        <v>Q3</v>
      </c>
      <c r="F1160" s="5">
        <v>160.0099945</v>
      </c>
      <c r="G1160" s="5">
        <v>163.78999329999999</v>
      </c>
      <c r="H1160" s="5">
        <v>159.0599976</v>
      </c>
      <c r="I1160" s="5">
        <v>163.66999820000001</v>
      </c>
      <c r="J1160" s="5">
        <v>28602300</v>
      </c>
      <c r="K1160" s="5">
        <v>163.2659912</v>
      </c>
      <c r="R1160" s="1">
        <f t="shared" si="73"/>
        <v>45523</v>
      </c>
    </row>
    <row r="1161" spans="1:18" hidden="1">
      <c r="A1161" s="4">
        <v>45517</v>
      </c>
      <c r="B1161" s="5">
        <f t="shared" si="74"/>
        <v>13</v>
      </c>
      <c r="C1161" s="5">
        <f t="shared" si="75"/>
        <v>8</v>
      </c>
      <c r="D1161" s="5">
        <f t="shared" si="76"/>
        <v>2024</v>
      </c>
      <c r="E1161" s="5" t="str">
        <f t="shared" si="77"/>
        <v>Q3</v>
      </c>
      <c r="F1161" s="5">
        <v>164.3500061</v>
      </c>
      <c r="G1161" s="5">
        <v>164.8999939</v>
      </c>
      <c r="H1161" s="5">
        <v>161.8399963</v>
      </c>
      <c r="I1161" s="5">
        <v>162.28999329999999</v>
      </c>
      <c r="J1161" s="5">
        <v>15895300</v>
      </c>
      <c r="K1161" s="5">
        <v>161.88938899999999</v>
      </c>
      <c r="R1161" s="1">
        <f t="shared" si="73"/>
        <v>45524</v>
      </c>
    </row>
    <row r="1162" spans="1:18" hidden="1">
      <c r="A1162" s="4">
        <v>45518</v>
      </c>
      <c r="B1162" s="5">
        <f t="shared" si="74"/>
        <v>14</v>
      </c>
      <c r="C1162" s="5">
        <f t="shared" si="75"/>
        <v>8</v>
      </c>
      <c r="D1162" s="5">
        <f t="shared" si="76"/>
        <v>2024</v>
      </c>
      <c r="E1162" s="5" t="str">
        <f t="shared" si="77"/>
        <v>Q3</v>
      </c>
      <c r="F1162" s="5">
        <v>163.4100037</v>
      </c>
      <c r="G1162" s="5">
        <v>164.72999569999999</v>
      </c>
      <c r="H1162" s="5">
        <v>162.97000120000001</v>
      </c>
      <c r="I1162" s="5">
        <v>164.1600037</v>
      </c>
      <c r="J1162" s="5">
        <v>18551700</v>
      </c>
      <c r="K1162" s="5">
        <v>163.75477599999999</v>
      </c>
      <c r="R1162" s="1">
        <f t="shared" si="73"/>
        <v>45525</v>
      </c>
    </row>
    <row r="1163" spans="1:18" hidden="1">
      <c r="A1163" s="4">
        <v>45519</v>
      </c>
      <c r="B1163" s="5">
        <f t="shared" si="74"/>
        <v>15</v>
      </c>
      <c r="C1163" s="5">
        <f t="shared" si="75"/>
        <v>8</v>
      </c>
      <c r="D1163" s="5">
        <f t="shared" si="76"/>
        <v>2024</v>
      </c>
      <c r="E1163" s="5" t="str">
        <f t="shared" si="77"/>
        <v>Q3</v>
      </c>
      <c r="F1163" s="5">
        <v>162.3999939</v>
      </c>
      <c r="G1163" s="5">
        <v>163.22000120000001</v>
      </c>
      <c r="H1163" s="5">
        <v>157.71000670000001</v>
      </c>
      <c r="I1163" s="5">
        <v>160.36999510000001</v>
      </c>
      <c r="J1163" s="5">
        <v>40591100</v>
      </c>
      <c r="K1163" s="5">
        <v>159.97412109999999</v>
      </c>
      <c r="R1163" s="1">
        <f t="shared" si="73"/>
        <v>45526</v>
      </c>
    </row>
    <row r="1164" spans="1:18" hidden="1">
      <c r="A1164" s="4">
        <v>45520</v>
      </c>
      <c r="B1164" s="5">
        <f t="shared" si="74"/>
        <v>16</v>
      </c>
      <c r="C1164" s="5">
        <f t="shared" si="75"/>
        <v>8</v>
      </c>
      <c r="D1164" s="5">
        <f t="shared" si="76"/>
        <v>2024</v>
      </c>
      <c r="E1164" s="5" t="str">
        <f t="shared" si="77"/>
        <v>Q3</v>
      </c>
      <c r="F1164" s="5">
        <v>160.5</v>
      </c>
      <c r="G1164" s="5">
        <v>161.63999939999999</v>
      </c>
      <c r="H1164" s="5">
        <v>159.61000060000001</v>
      </c>
      <c r="I1164" s="5">
        <v>161.3000031</v>
      </c>
      <c r="J1164" s="5">
        <v>31524300</v>
      </c>
      <c r="K1164" s="5">
        <v>160.90185550000001</v>
      </c>
      <c r="R1164" s="1">
        <f t="shared" si="73"/>
        <v>45527</v>
      </c>
    </row>
    <row r="1165" spans="1:18" hidden="1">
      <c r="A1165" s="4">
        <v>45523</v>
      </c>
      <c r="B1165" s="5">
        <f t="shared" si="74"/>
        <v>19</v>
      </c>
      <c r="C1165" s="5">
        <f t="shared" si="75"/>
        <v>8</v>
      </c>
      <c r="D1165" s="5">
        <f t="shared" si="76"/>
        <v>2024</v>
      </c>
      <c r="E1165" s="5" t="str">
        <f t="shared" si="77"/>
        <v>Q3</v>
      </c>
      <c r="F1165" s="5">
        <v>161.47000120000001</v>
      </c>
      <c r="G1165" s="5">
        <v>165.0599976</v>
      </c>
      <c r="H1165" s="5">
        <v>161.13000489999999</v>
      </c>
      <c r="I1165" s="5">
        <v>162.96000670000001</v>
      </c>
      <c r="J1165" s="5">
        <v>24208600</v>
      </c>
      <c r="K1165" s="5">
        <v>162.55775449999999</v>
      </c>
      <c r="R1165" s="1">
        <f t="shared" si="73"/>
        <v>45530</v>
      </c>
    </row>
    <row r="1166" spans="1:18" hidden="1">
      <c r="A1166" s="4">
        <v>45524</v>
      </c>
      <c r="B1166" s="5">
        <f t="shared" si="74"/>
        <v>20</v>
      </c>
      <c r="C1166" s="5">
        <f t="shared" si="75"/>
        <v>8</v>
      </c>
      <c r="D1166" s="5">
        <f t="shared" si="76"/>
        <v>2024</v>
      </c>
      <c r="E1166" s="5" t="str">
        <f t="shared" si="77"/>
        <v>Q3</v>
      </c>
      <c r="F1166" s="5">
        <v>165.27999879999999</v>
      </c>
      <c r="G1166" s="5">
        <v>166.6900024</v>
      </c>
      <c r="H1166" s="5">
        <v>164.2599945</v>
      </c>
      <c r="I1166" s="5">
        <v>166.66999820000001</v>
      </c>
      <c r="J1166" s="5">
        <v>22416200</v>
      </c>
      <c r="K1166" s="5">
        <v>166.25859070000001</v>
      </c>
      <c r="R1166" s="1">
        <f t="shared" si="73"/>
        <v>45531</v>
      </c>
    </row>
    <row r="1167" spans="1:18" hidden="1">
      <c r="A1167" s="4">
        <v>45525</v>
      </c>
      <c r="B1167" s="5">
        <f t="shared" si="74"/>
        <v>21</v>
      </c>
      <c r="C1167" s="5">
        <f t="shared" si="75"/>
        <v>8</v>
      </c>
      <c r="D1167" s="5">
        <f t="shared" si="76"/>
        <v>2024</v>
      </c>
      <c r="E1167" s="5" t="str">
        <f t="shared" si="77"/>
        <v>Q3</v>
      </c>
      <c r="F1167" s="5">
        <v>166.8999939</v>
      </c>
      <c r="G1167" s="5">
        <v>168.63999939999999</v>
      </c>
      <c r="H1167" s="5">
        <v>166.82000729999999</v>
      </c>
      <c r="I1167" s="5">
        <v>167.17999270000001</v>
      </c>
      <c r="J1167" s="5">
        <v>18341500</v>
      </c>
      <c r="K1167" s="5">
        <v>166.7673187</v>
      </c>
      <c r="R1167" s="1">
        <f t="shared" si="73"/>
        <v>45532</v>
      </c>
    </row>
    <row r="1168" spans="1:18" hidden="1">
      <c r="A1168" s="4">
        <v>45526</v>
      </c>
      <c r="B1168" s="5">
        <f t="shared" si="74"/>
        <v>22</v>
      </c>
      <c r="C1168" s="5">
        <f t="shared" si="75"/>
        <v>8</v>
      </c>
      <c r="D1168" s="5">
        <f t="shared" si="76"/>
        <v>2024</v>
      </c>
      <c r="E1168" s="5" t="str">
        <f t="shared" si="77"/>
        <v>Q3</v>
      </c>
      <c r="F1168" s="5">
        <v>165.1499939</v>
      </c>
      <c r="G1168" s="5">
        <v>166.8500061</v>
      </c>
      <c r="H1168" s="5">
        <v>164.66999820000001</v>
      </c>
      <c r="I1168" s="5">
        <v>165.8500061</v>
      </c>
      <c r="J1168" s="5">
        <v>22902000</v>
      </c>
      <c r="K1168" s="5">
        <v>165.4406128</v>
      </c>
      <c r="R1168" s="1">
        <f t="shared" si="73"/>
        <v>45533</v>
      </c>
    </row>
    <row r="1169" spans="1:18" hidden="1">
      <c r="A1169" s="4">
        <v>45527</v>
      </c>
      <c r="B1169" s="5">
        <f t="shared" si="74"/>
        <v>23</v>
      </c>
      <c r="C1169" s="5">
        <f t="shared" si="75"/>
        <v>8</v>
      </c>
      <c r="D1169" s="5">
        <f t="shared" si="76"/>
        <v>2024</v>
      </c>
      <c r="E1169" s="5" t="str">
        <f t="shared" si="77"/>
        <v>Q3</v>
      </c>
      <c r="F1169" s="5">
        <v>167.2599945</v>
      </c>
      <c r="G1169" s="5">
        <v>167.5899963</v>
      </c>
      <c r="H1169" s="5">
        <v>163.3099976</v>
      </c>
      <c r="I1169" s="5">
        <v>163.8000031</v>
      </c>
      <c r="J1169" s="5">
        <v>22493300</v>
      </c>
      <c r="K1169" s="5">
        <v>163.3956757</v>
      </c>
      <c r="R1169" s="1">
        <f t="shared" ref="R1169:R1232" si="78">A1169+7</f>
        <v>45534</v>
      </c>
    </row>
    <row r="1170" spans="1:18" hidden="1">
      <c r="A1170" s="4">
        <v>45530</v>
      </c>
      <c r="B1170" s="5">
        <f t="shared" si="74"/>
        <v>26</v>
      </c>
      <c r="C1170" s="5">
        <f t="shared" si="75"/>
        <v>8</v>
      </c>
      <c r="D1170" s="5">
        <f t="shared" si="76"/>
        <v>2024</v>
      </c>
      <c r="E1170" s="5" t="str">
        <f t="shared" si="77"/>
        <v>Q3</v>
      </c>
      <c r="F1170" s="5">
        <v>164.72000120000001</v>
      </c>
      <c r="G1170" s="5">
        <v>166.17999270000001</v>
      </c>
      <c r="H1170" s="5">
        <v>163.83000179999999</v>
      </c>
      <c r="I1170" s="5">
        <v>165.61999510000001</v>
      </c>
      <c r="J1170" s="5">
        <v>13955700</v>
      </c>
      <c r="K1170" s="5">
        <v>165.2111816</v>
      </c>
      <c r="R1170" s="1">
        <f t="shared" si="78"/>
        <v>45537</v>
      </c>
    </row>
    <row r="1171" spans="1:18" hidden="1">
      <c r="A1171" s="4">
        <v>45531</v>
      </c>
      <c r="B1171" s="5">
        <f t="shared" si="74"/>
        <v>27</v>
      </c>
      <c r="C1171" s="5">
        <f t="shared" si="75"/>
        <v>8</v>
      </c>
      <c r="D1171" s="5">
        <f t="shared" si="76"/>
        <v>2024</v>
      </c>
      <c r="E1171" s="5" t="str">
        <f t="shared" si="77"/>
        <v>Q3</v>
      </c>
      <c r="F1171" s="5">
        <v>166.38000489999999</v>
      </c>
      <c r="G1171" s="5">
        <v>167.5500031</v>
      </c>
      <c r="H1171" s="5">
        <v>164.46000670000001</v>
      </c>
      <c r="I1171" s="5">
        <v>166.1600037</v>
      </c>
      <c r="J1171" s="5">
        <v>14190400</v>
      </c>
      <c r="K1171" s="5">
        <v>165.74984739999999</v>
      </c>
      <c r="R1171" s="1">
        <f t="shared" si="78"/>
        <v>45538</v>
      </c>
    </row>
    <row r="1172" spans="1:18" hidden="1">
      <c r="A1172" s="4">
        <v>45532</v>
      </c>
      <c r="B1172" s="5">
        <f t="shared" si="74"/>
        <v>28</v>
      </c>
      <c r="C1172" s="5">
        <f t="shared" si="75"/>
        <v>8</v>
      </c>
      <c r="D1172" s="5">
        <f t="shared" si="76"/>
        <v>2024</v>
      </c>
      <c r="E1172" s="5" t="str">
        <f t="shared" si="77"/>
        <v>Q3</v>
      </c>
      <c r="F1172" s="5">
        <v>165.8399963</v>
      </c>
      <c r="G1172" s="5">
        <v>166.4400024</v>
      </c>
      <c r="H1172" s="5">
        <v>164.46000670000001</v>
      </c>
      <c r="I1172" s="5">
        <v>164.67999270000001</v>
      </c>
      <c r="J1172" s="5">
        <v>11821900</v>
      </c>
      <c r="K1172" s="5">
        <v>164.27348330000001</v>
      </c>
      <c r="R1172" s="1">
        <f t="shared" si="78"/>
        <v>45539</v>
      </c>
    </row>
    <row r="1173" spans="1:18" hidden="1">
      <c r="A1173" s="4">
        <v>45533</v>
      </c>
      <c r="B1173" s="5">
        <f t="shared" si="74"/>
        <v>29</v>
      </c>
      <c r="C1173" s="5">
        <f t="shared" si="75"/>
        <v>8</v>
      </c>
      <c r="D1173" s="5">
        <f t="shared" si="76"/>
        <v>2024</v>
      </c>
      <c r="E1173" s="5" t="str">
        <f t="shared" si="77"/>
        <v>Q3</v>
      </c>
      <c r="F1173" s="5">
        <v>165.03999329999999</v>
      </c>
      <c r="G1173" s="5">
        <v>165.6000061</v>
      </c>
      <c r="H1173" s="5">
        <v>161.52999879999999</v>
      </c>
      <c r="I1173" s="5">
        <v>162.8500061</v>
      </c>
      <c r="J1173" s="5">
        <v>16407400</v>
      </c>
      <c r="K1173" s="5">
        <v>162.44801330000001</v>
      </c>
      <c r="R1173" s="1">
        <f t="shared" si="78"/>
        <v>45540</v>
      </c>
    </row>
    <row r="1174" spans="1:18" hidden="1">
      <c r="A1174" s="4">
        <v>45534</v>
      </c>
      <c r="B1174" s="5">
        <f t="shared" si="74"/>
        <v>30</v>
      </c>
      <c r="C1174" s="5">
        <f t="shared" si="75"/>
        <v>8</v>
      </c>
      <c r="D1174" s="5">
        <f t="shared" si="76"/>
        <v>2024</v>
      </c>
      <c r="E1174" s="5" t="str">
        <f t="shared" si="77"/>
        <v>Q3</v>
      </c>
      <c r="F1174" s="5">
        <v>164.3099976</v>
      </c>
      <c r="G1174" s="5">
        <v>165.97000120000001</v>
      </c>
      <c r="H1174" s="5">
        <v>160.25</v>
      </c>
      <c r="I1174" s="5">
        <v>161.77999879999999</v>
      </c>
      <c r="J1174" s="5">
        <v>19699800</v>
      </c>
      <c r="K1174" s="5">
        <v>161.380661</v>
      </c>
      <c r="R1174" s="1">
        <f t="shared" si="78"/>
        <v>45541</v>
      </c>
    </row>
    <row r="1175" spans="1:18" hidden="1">
      <c r="A1175" s="4">
        <v>45538</v>
      </c>
      <c r="B1175" s="5">
        <f t="shared" si="74"/>
        <v>3</v>
      </c>
      <c r="C1175" s="5">
        <f t="shared" si="75"/>
        <v>9</v>
      </c>
      <c r="D1175" s="5">
        <f t="shared" si="76"/>
        <v>2024</v>
      </c>
      <c r="E1175" s="5" t="str">
        <f t="shared" si="77"/>
        <v>Q3</v>
      </c>
      <c r="F1175" s="5">
        <v>162.61999510000001</v>
      </c>
      <c r="G1175" s="5">
        <v>163.6600037</v>
      </c>
      <c r="H1175" s="5">
        <v>161.6900024</v>
      </c>
      <c r="I1175" s="5">
        <v>163.38000489999999</v>
      </c>
      <c r="J1175" s="5">
        <v>22123800</v>
      </c>
      <c r="K1175" s="5">
        <v>162.97671510000001</v>
      </c>
      <c r="R1175" s="1">
        <f t="shared" si="78"/>
        <v>45545</v>
      </c>
    </row>
    <row r="1176" spans="1:18" hidden="1">
      <c r="A1176" s="4">
        <v>45539</v>
      </c>
      <c r="B1176" s="5">
        <f t="shared" si="74"/>
        <v>4</v>
      </c>
      <c r="C1176" s="5">
        <f t="shared" si="75"/>
        <v>9</v>
      </c>
      <c r="D1176" s="5">
        <f t="shared" si="76"/>
        <v>2024</v>
      </c>
      <c r="E1176" s="5" t="str">
        <f t="shared" si="77"/>
        <v>Q3</v>
      </c>
      <c r="F1176" s="5">
        <v>161.72000120000001</v>
      </c>
      <c r="G1176" s="5">
        <v>161.8500061</v>
      </c>
      <c r="H1176" s="5">
        <v>156.47999569999999</v>
      </c>
      <c r="I1176" s="5">
        <v>157.36000060000001</v>
      </c>
      <c r="J1176" s="5">
        <v>38945300</v>
      </c>
      <c r="K1176" s="5">
        <v>156.97155760000001</v>
      </c>
      <c r="R1176" s="1">
        <f t="shared" si="78"/>
        <v>45546</v>
      </c>
    </row>
    <row r="1177" spans="1:18" hidden="1">
      <c r="A1177" s="4">
        <v>45540</v>
      </c>
      <c r="B1177" s="5">
        <f t="shared" si="74"/>
        <v>5</v>
      </c>
      <c r="C1177" s="5">
        <f t="shared" si="75"/>
        <v>9</v>
      </c>
      <c r="D1177" s="5">
        <f t="shared" si="76"/>
        <v>2024</v>
      </c>
      <c r="E1177" s="5" t="str">
        <f t="shared" si="77"/>
        <v>Q3</v>
      </c>
      <c r="F1177" s="5">
        <v>156.6600037</v>
      </c>
      <c r="G1177" s="5">
        <v>159</v>
      </c>
      <c r="H1177" s="5">
        <v>155.96000670000001</v>
      </c>
      <c r="I1177" s="5">
        <v>156.4499969</v>
      </c>
      <c r="J1177" s="5">
        <v>19353800</v>
      </c>
      <c r="K1177" s="5">
        <v>156.0638123</v>
      </c>
      <c r="R1177" s="1">
        <f t="shared" si="78"/>
        <v>45547</v>
      </c>
    </row>
    <row r="1178" spans="1:18" hidden="1">
      <c r="A1178" s="4">
        <v>45541</v>
      </c>
      <c r="B1178" s="5">
        <f t="shared" si="74"/>
        <v>6</v>
      </c>
      <c r="C1178" s="5">
        <f t="shared" si="75"/>
        <v>9</v>
      </c>
      <c r="D1178" s="5">
        <f t="shared" si="76"/>
        <v>2024</v>
      </c>
      <c r="E1178" s="5" t="str">
        <f t="shared" si="77"/>
        <v>Q3</v>
      </c>
      <c r="F1178" s="5">
        <v>156.3000031</v>
      </c>
      <c r="G1178" s="5">
        <v>159.4499969</v>
      </c>
      <c r="H1178" s="5">
        <v>155.97999569999999</v>
      </c>
      <c r="I1178" s="5">
        <v>157.2400055</v>
      </c>
      <c r="J1178" s="5">
        <v>18688700</v>
      </c>
      <c r="K1178" s="5">
        <v>156.85186770000001</v>
      </c>
      <c r="R1178" s="1">
        <f t="shared" si="78"/>
        <v>45548</v>
      </c>
    </row>
    <row r="1179" spans="1:18" hidden="1">
      <c r="A1179" s="4">
        <v>45544</v>
      </c>
      <c r="B1179" s="5">
        <f t="shared" si="74"/>
        <v>9</v>
      </c>
      <c r="C1179" s="5">
        <f t="shared" si="75"/>
        <v>9</v>
      </c>
      <c r="D1179" s="5">
        <f t="shared" si="76"/>
        <v>2024</v>
      </c>
      <c r="E1179" s="5" t="str">
        <f t="shared" si="77"/>
        <v>Q3</v>
      </c>
      <c r="F1179" s="5">
        <v>157.3000031</v>
      </c>
      <c r="G1179" s="5">
        <v>157.83000179999999</v>
      </c>
      <c r="H1179" s="5">
        <v>150.5500031</v>
      </c>
      <c r="I1179" s="5">
        <v>150.91999820000001</v>
      </c>
      <c r="J1179" s="5">
        <v>37912100</v>
      </c>
      <c r="K1179" s="5">
        <v>150.5474548</v>
      </c>
      <c r="R1179" s="1">
        <f t="shared" si="78"/>
        <v>45551</v>
      </c>
    </row>
    <row r="1180" spans="1:18" hidden="1">
      <c r="A1180" s="4">
        <v>45545</v>
      </c>
      <c r="B1180" s="5">
        <f t="shared" si="74"/>
        <v>10</v>
      </c>
      <c r="C1180" s="5">
        <f t="shared" si="75"/>
        <v>9</v>
      </c>
      <c r="D1180" s="5">
        <f t="shared" si="76"/>
        <v>2024</v>
      </c>
      <c r="E1180" s="5" t="str">
        <f t="shared" si="77"/>
        <v>Q3</v>
      </c>
      <c r="F1180" s="5">
        <v>152.5099945</v>
      </c>
      <c r="G1180" s="5">
        <v>153.3999939</v>
      </c>
      <c r="H1180" s="5">
        <v>147.22000120000001</v>
      </c>
      <c r="I1180" s="5">
        <v>148.71000670000001</v>
      </c>
      <c r="J1180" s="5">
        <v>39260500</v>
      </c>
      <c r="K1180" s="5">
        <v>148.5397644</v>
      </c>
      <c r="R1180" s="1">
        <f t="shared" si="78"/>
        <v>45552</v>
      </c>
    </row>
    <row r="1181" spans="1:18" hidden="1">
      <c r="A1181" s="4">
        <v>45546</v>
      </c>
      <c r="B1181" s="5">
        <f t="shared" si="74"/>
        <v>11</v>
      </c>
      <c r="C1181" s="5">
        <f t="shared" si="75"/>
        <v>9</v>
      </c>
      <c r="D1181" s="5">
        <f t="shared" si="76"/>
        <v>2024</v>
      </c>
      <c r="E1181" s="5" t="str">
        <f t="shared" si="77"/>
        <v>Q3</v>
      </c>
      <c r="F1181" s="5">
        <v>150.4499969</v>
      </c>
      <c r="G1181" s="5">
        <v>151.27000430000001</v>
      </c>
      <c r="H1181" s="5">
        <v>148.3399963</v>
      </c>
      <c r="I1181" s="5">
        <v>148.6600037</v>
      </c>
      <c r="J1181" s="5">
        <v>31118800</v>
      </c>
      <c r="K1181" s="5">
        <v>148.48982240000001</v>
      </c>
      <c r="R1181" s="1">
        <f t="shared" si="78"/>
        <v>45553</v>
      </c>
    </row>
    <row r="1182" spans="1:18" hidden="1">
      <c r="A1182" s="4">
        <v>45547</v>
      </c>
      <c r="B1182" s="5">
        <f t="shared" si="74"/>
        <v>12</v>
      </c>
      <c r="C1182" s="5">
        <f t="shared" si="75"/>
        <v>9</v>
      </c>
      <c r="D1182" s="5">
        <f t="shared" si="76"/>
        <v>2024</v>
      </c>
      <c r="E1182" s="5" t="str">
        <f t="shared" si="77"/>
        <v>Q3</v>
      </c>
      <c r="F1182" s="5">
        <v>149.91999820000001</v>
      </c>
      <c r="G1182" s="5">
        <v>151.5</v>
      </c>
      <c r="H1182" s="5">
        <v>147.52000430000001</v>
      </c>
      <c r="I1182" s="5">
        <v>151.1600037</v>
      </c>
      <c r="J1182" s="5">
        <v>29607700</v>
      </c>
      <c r="K1182" s="5">
        <v>150.98695369999999</v>
      </c>
      <c r="R1182" s="1">
        <f t="shared" si="78"/>
        <v>45554</v>
      </c>
    </row>
    <row r="1183" spans="1:18" hidden="1">
      <c r="A1183" s="4">
        <v>45548</v>
      </c>
      <c r="B1183" s="5">
        <f t="shared" si="74"/>
        <v>13</v>
      </c>
      <c r="C1183" s="5">
        <f t="shared" si="75"/>
        <v>9</v>
      </c>
      <c r="D1183" s="5">
        <f t="shared" si="76"/>
        <v>2024</v>
      </c>
      <c r="E1183" s="5" t="str">
        <f t="shared" si="77"/>
        <v>Q3</v>
      </c>
      <c r="F1183" s="5">
        <v>153.8000031</v>
      </c>
      <c r="G1183" s="5">
        <v>154.82000729999999</v>
      </c>
      <c r="H1183" s="5">
        <v>152.6499939</v>
      </c>
      <c r="I1183" s="5">
        <v>154.6900024</v>
      </c>
      <c r="J1183" s="5">
        <v>29695000</v>
      </c>
      <c r="K1183" s="5">
        <v>154.51292419999999</v>
      </c>
      <c r="R1183" s="1">
        <f t="shared" si="78"/>
        <v>45555</v>
      </c>
    </row>
    <row r="1184" spans="1:18" hidden="1">
      <c r="A1184" s="4">
        <v>45551</v>
      </c>
      <c r="B1184" s="5">
        <f t="shared" si="74"/>
        <v>16</v>
      </c>
      <c r="C1184" s="5">
        <f t="shared" si="75"/>
        <v>9</v>
      </c>
      <c r="D1184" s="5">
        <f t="shared" si="76"/>
        <v>2024</v>
      </c>
      <c r="E1184" s="5" t="str">
        <f t="shared" si="77"/>
        <v>Q3</v>
      </c>
      <c r="F1184" s="5">
        <v>155.42999270000001</v>
      </c>
      <c r="G1184" s="5">
        <v>158.38000489999999</v>
      </c>
      <c r="H1184" s="5">
        <v>155.21000670000001</v>
      </c>
      <c r="I1184" s="5">
        <v>157.46000670000001</v>
      </c>
      <c r="J1184" s="5">
        <v>29591200</v>
      </c>
      <c r="K1184" s="5">
        <v>157.27975459999999</v>
      </c>
      <c r="R1184" s="1">
        <f t="shared" si="78"/>
        <v>45558</v>
      </c>
    </row>
    <row r="1185" spans="1:18" hidden="1">
      <c r="A1185" s="4">
        <v>45552</v>
      </c>
      <c r="B1185" s="5">
        <f t="shared" si="74"/>
        <v>17</v>
      </c>
      <c r="C1185" s="5">
        <f t="shared" si="75"/>
        <v>9</v>
      </c>
      <c r="D1185" s="5">
        <f t="shared" si="76"/>
        <v>2024</v>
      </c>
      <c r="E1185" s="5" t="str">
        <f t="shared" si="77"/>
        <v>Q3</v>
      </c>
      <c r="F1185" s="5">
        <v>157.3099976</v>
      </c>
      <c r="G1185" s="5">
        <v>158.25</v>
      </c>
      <c r="H1185" s="5">
        <v>156.6000061</v>
      </c>
      <c r="I1185" s="5">
        <v>158.0599976</v>
      </c>
      <c r="J1185" s="5">
        <v>18379800</v>
      </c>
      <c r="K1185" s="5">
        <v>157.8790588</v>
      </c>
      <c r="R1185" s="1">
        <f t="shared" si="78"/>
        <v>45559</v>
      </c>
    </row>
    <row r="1186" spans="1:18" hidden="1">
      <c r="A1186" s="4">
        <v>45553</v>
      </c>
      <c r="B1186" s="5">
        <f t="shared" si="74"/>
        <v>18</v>
      </c>
      <c r="C1186" s="5">
        <f t="shared" si="75"/>
        <v>9</v>
      </c>
      <c r="D1186" s="5">
        <f t="shared" si="76"/>
        <v>2024</v>
      </c>
      <c r="E1186" s="5" t="str">
        <f t="shared" si="77"/>
        <v>Q3</v>
      </c>
      <c r="F1186" s="5">
        <v>159.02000430000001</v>
      </c>
      <c r="G1186" s="5">
        <v>160.5500031</v>
      </c>
      <c r="H1186" s="5">
        <v>158.38000489999999</v>
      </c>
      <c r="I1186" s="5">
        <v>159.32000729999999</v>
      </c>
      <c r="J1186" s="5">
        <v>20715600</v>
      </c>
      <c r="K1186" s="5">
        <v>159.137619</v>
      </c>
      <c r="R1186" s="1">
        <f t="shared" si="78"/>
        <v>45560</v>
      </c>
    </row>
    <row r="1187" spans="1:18" hidden="1">
      <c r="A1187" s="4">
        <v>45554</v>
      </c>
      <c r="B1187" s="5">
        <f t="shared" si="74"/>
        <v>19</v>
      </c>
      <c r="C1187" s="5">
        <f t="shared" si="75"/>
        <v>9</v>
      </c>
      <c r="D1187" s="5">
        <f t="shared" si="76"/>
        <v>2024</v>
      </c>
      <c r="E1187" s="5" t="str">
        <f t="shared" si="77"/>
        <v>Q3</v>
      </c>
      <c r="F1187" s="5">
        <v>159.86000060000001</v>
      </c>
      <c r="G1187" s="5">
        <v>160.5</v>
      </c>
      <c r="H1187" s="5">
        <v>158.6000061</v>
      </c>
      <c r="I1187" s="5">
        <v>159.8099976</v>
      </c>
      <c r="J1187" s="5">
        <v>23677300</v>
      </c>
      <c r="K1187" s="5">
        <v>159.62705990000001</v>
      </c>
      <c r="R1187" s="1">
        <f t="shared" si="78"/>
        <v>45561</v>
      </c>
    </row>
    <row r="1188" spans="1:18" hidden="1">
      <c r="A1188" s="4">
        <v>45555</v>
      </c>
      <c r="B1188" s="5">
        <f t="shared" si="74"/>
        <v>20</v>
      </c>
      <c r="C1188" s="5">
        <f t="shared" si="75"/>
        <v>9</v>
      </c>
      <c r="D1188" s="5">
        <f t="shared" si="76"/>
        <v>2024</v>
      </c>
      <c r="E1188" s="5" t="str">
        <f t="shared" si="77"/>
        <v>Q3</v>
      </c>
      <c r="F1188" s="5">
        <v>163.71000670000001</v>
      </c>
      <c r="G1188" s="5">
        <v>163.78999329999999</v>
      </c>
      <c r="H1188" s="5">
        <v>161.3399963</v>
      </c>
      <c r="I1188" s="5">
        <v>162.13999939999999</v>
      </c>
      <c r="J1188" s="5">
        <v>26587700</v>
      </c>
      <c r="K1188" s="5">
        <v>161.95439150000001</v>
      </c>
      <c r="R1188" s="1">
        <f t="shared" si="78"/>
        <v>45562</v>
      </c>
    </row>
    <row r="1189" spans="1:18" hidden="1">
      <c r="A1189" s="4">
        <v>45558</v>
      </c>
      <c r="B1189" s="5">
        <f t="shared" si="74"/>
        <v>23</v>
      </c>
      <c r="C1189" s="5">
        <f t="shared" si="75"/>
        <v>9</v>
      </c>
      <c r="D1189" s="5">
        <f t="shared" si="76"/>
        <v>2024</v>
      </c>
      <c r="E1189" s="5" t="str">
        <f t="shared" si="77"/>
        <v>Q3</v>
      </c>
      <c r="F1189" s="5">
        <v>163.5</v>
      </c>
      <c r="G1189" s="5">
        <v>163.72999569999999</v>
      </c>
      <c r="H1189" s="5">
        <v>162.0599976</v>
      </c>
      <c r="I1189" s="5">
        <v>163.5899963</v>
      </c>
      <c r="J1189" s="5">
        <v>40896400</v>
      </c>
      <c r="K1189" s="5">
        <v>163.40272519999999</v>
      </c>
      <c r="R1189" s="1">
        <f t="shared" si="78"/>
        <v>45565</v>
      </c>
    </row>
    <row r="1190" spans="1:18" hidden="1">
      <c r="A1190" s="4">
        <v>45559</v>
      </c>
      <c r="B1190" s="5">
        <f t="shared" si="74"/>
        <v>24</v>
      </c>
      <c r="C1190" s="5">
        <f t="shared" si="75"/>
        <v>9</v>
      </c>
      <c r="D1190" s="5">
        <f t="shared" si="76"/>
        <v>2024</v>
      </c>
      <c r="E1190" s="5" t="str">
        <f t="shared" si="77"/>
        <v>Q3</v>
      </c>
      <c r="F1190" s="5">
        <v>164.3500061</v>
      </c>
      <c r="G1190" s="5">
        <v>165.4900055</v>
      </c>
      <c r="H1190" s="5">
        <v>161.66999820000001</v>
      </c>
      <c r="I1190" s="5">
        <v>161.8500061</v>
      </c>
      <c r="J1190" s="5">
        <v>24150900</v>
      </c>
      <c r="K1190" s="5">
        <v>161.66471859999999</v>
      </c>
      <c r="R1190" s="1">
        <f t="shared" si="78"/>
        <v>45566</v>
      </c>
    </row>
    <row r="1191" spans="1:18" hidden="1">
      <c r="A1191" s="4">
        <v>45560</v>
      </c>
      <c r="B1191" s="5">
        <f t="shared" si="74"/>
        <v>25</v>
      </c>
      <c r="C1191" s="5">
        <f t="shared" si="75"/>
        <v>9</v>
      </c>
      <c r="D1191" s="5">
        <f t="shared" si="76"/>
        <v>2024</v>
      </c>
      <c r="E1191" s="5" t="str">
        <f t="shared" si="77"/>
        <v>Q3</v>
      </c>
      <c r="F1191" s="5">
        <v>163.02999879999999</v>
      </c>
      <c r="G1191" s="5">
        <v>163.22000120000001</v>
      </c>
      <c r="H1191" s="5">
        <v>160.6900024</v>
      </c>
      <c r="I1191" s="5">
        <v>162.28999329999999</v>
      </c>
      <c r="J1191" s="5">
        <v>23332100</v>
      </c>
      <c r="K1191" s="5">
        <v>162.1042023</v>
      </c>
      <c r="R1191" s="1">
        <f t="shared" si="78"/>
        <v>45567</v>
      </c>
    </row>
    <row r="1192" spans="1:18" hidden="1">
      <c r="A1192" s="4">
        <v>45561</v>
      </c>
      <c r="B1192" s="5">
        <f t="shared" si="74"/>
        <v>26</v>
      </c>
      <c r="C1192" s="5">
        <f t="shared" si="75"/>
        <v>9</v>
      </c>
      <c r="D1192" s="5">
        <f t="shared" si="76"/>
        <v>2024</v>
      </c>
      <c r="E1192" s="5" t="str">
        <f t="shared" si="77"/>
        <v>Q3</v>
      </c>
      <c r="F1192" s="5">
        <v>161.47000120000001</v>
      </c>
      <c r="G1192" s="5">
        <v>162.8099976</v>
      </c>
      <c r="H1192" s="5">
        <v>161.3000031</v>
      </c>
      <c r="I1192" s="5">
        <v>161.4900055</v>
      </c>
      <c r="J1192" s="5">
        <v>18869200</v>
      </c>
      <c r="K1192" s="5">
        <v>161.30512999999999</v>
      </c>
      <c r="R1192" s="1">
        <f t="shared" si="78"/>
        <v>45568</v>
      </c>
    </row>
    <row r="1193" spans="1:18" hidden="1">
      <c r="A1193" s="4">
        <v>45562</v>
      </c>
      <c r="B1193" s="5">
        <f t="shared" si="74"/>
        <v>27</v>
      </c>
      <c r="C1193" s="5">
        <f t="shared" si="75"/>
        <v>9</v>
      </c>
      <c r="D1193" s="5">
        <f t="shared" si="76"/>
        <v>2024</v>
      </c>
      <c r="E1193" s="5" t="str">
        <f t="shared" si="77"/>
        <v>Q3</v>
      </c>
      <c r="F1193" s="5">
        <v>163.63999939999999</v>
      </c>
      <c r="G1193" s="5">
        <v>164.08000179999999</v>
      </c>
      <c r="H1193" s="5">
        <v>162.27999879999999</v>
      </c>
      <c r="I1193" s="5">
        <v>162.72999569999999</v>
      </c>
      <c r="J1193" s="5">
        <v>20319300</v>
      </c>
      <c r="K1193" s="5">
        <v>162.54370119999999</v>
      </c>
      <c r="R1193" s="1">
        <f t="shared" si="78"/>
        <v>45569</v>
      </c>
    </row>
    <row r="1194" spans="1:18" hidden="1">
      <c r="A1194" s="4">
        <v>45565</v>
      </c>
      <c r="B1194" s="5">
        <f t="shared" si="74"/>
        <v>30</v>
      </c>
      <c r="C1194" s="5">
        <f t="shared" si="75"/>
        <v>9</v>
      </c>
      <c r="D1194" s="5">
        <f t="shared" si="76"/>
        <v>2024</v>
      </c>
      <c r="E1194" s="5" t="str">
        <f t="shared" si="77"/>
        <v>Q3</v>
      </c>
      <c r="F1194" s="5">
        <v>162.8099976</v>
      </c>
      <c r="G1194" s="5">
        <v>165.6999969</v>
      </c>
      <c r="H1194" s="5">
        <v>162.63000489999999</v>
      </c>
      <c r="I1194" s="5">
        <v>163.9499969</v>
      </c>
      <c r="J1194" s="5">
        <v>21101300</v>
      </c>
      <c r="K1194" s="5">
        <v>163.76231379999999</v>
      </c>
      <c r="R1194" s="1">
        <f t="shared" si="78"/>
        <v>45572</v>
      </c>
    </row>
    <row r="1195" spans="1:18" hidden="1">
      <c r="A1195" s="4">
        <v>45566</v>
      </c>
      <c r="B1195" s="5">
        <f t="shared" si="74"/>
        <v>1</v>
      </c>
      <c r="C1195" s="5">
        <f t="shared" si="75"/>
        <v>10</v>
      </c>
      <c r="D1195" s="5">
        <f t="shared" si="76"/>
        <v>2024</v>
      </c>
      <c r="E1195" s="5" t="str">
        <f t="shared" si="77"/>
        <v>Q4</v>
      </c>
      <c r="F1195" s="5">
        <v>163.32000729999999</v>
      </c>
      <c r="G1195" s="5">
        <v>166.1499939</v>
      </c>
      <c r="H1195" s="5">
        <v>163.2599945</v>
      </c>
      <c r="I1195" s="5">
        <v>165.8500061</v>
      </c>
      <c r="J1195" s="5">
        <v>20413900</v>
      </c>
      <c r="K1195" s="5">
        <v>165.66014100000001</v>
      </c>
      <c r="R1195" s="1">
        <f t="shared" si="78"/>
        <v>45573</v>
      </c>
    </row>
    <row r="1196" spans="1:18" hidden="1">
      <c r="A1196" s="4">
        <v>45567</v>
      </c>
      <c r="B1196" s="5">
        <f t="shared" si="74"/>
        <v>2</v>
      </c>
      <c r="C1196" s="5">
        <f t="shared" si="75"/>
        <v>10</v>
      </c>
      <c r="D1196" s="5">
        <f t="shared" si="76"/>
        <v>2024</v>
      </c>
      <c r="E1196" s="5" t="str">
        <f t="shared" si="77"/>
        <v>Q4</v>
      </c>
      <c r="F1196" s="5">
        <v>167.6900024</v>
      </c>
      <c r="G1196" s="5">
        <v>169.1600037</v>
      </c>
      <c r="H1196" s="5">
        <v>164.58000179999999</v>
      </c>
      <c r="I1196" s="5">
        <v>166.9900055</v>
      </c>
      <c r="J1196" s="5">
        <v>28338100</v>
      </c>
      <c r="K1196" s="5">
        <v>166.79884340000001</v>
      </c>
      <c r="R1196" s="1">
        <f t="shared" si="78"/>
        <v>45574</v>
      </c>
    </row>
    <row r="1197" spans="1:18" hidden="1">
      <c r="A1197" s="4">
        <v>45568</v>
      </c>
      <c r="B1197" s="5">
        <f t="shared" si="74"/>
        <v>3</v>
      </c>
      <c r="C1197" s="5">
        <f t="shared" si="75"/>
        <v>10</v>
      </c>
      <c r="D1197" s="5">
        <f t="shared" si="76"/>
        <v>2024</v>
      </c>
      <c r="E1197" s="5" t="str">
        <f t="shared" si="77"/>
        <v>Q4</v>
      </c>
      <c r="F1197" s="5">
        <v>166.41999820000001</v>
      </c>
      <c r="G1197" s="5">
        <v>167.52000430000001</v>
      </c>
      <c r="H1197" s="5">
        <v>164.72999569999999</v>
      </c>
      <c r="I1197" s="5">
        <v>165.86000060000001</v>
      </c>
      <c r="J1197" s="5">
        <v>17760200</v>
      </c>
      <c r="K1197" s="5">
        <v>165.67013549999999</v>
      </c>
      <c r="R1197" s="1">
        <f t="shared" si="78"/>
        <v>45575</v>
      </c>
    </row>
    <row r="1198" spans="1:18" hidden="1">
      <c r="A1198" s="4">
        <v>45569</v>
      </c>
      <c r="B1198" s="5">
        <f t="shared" si="74"/>
        <v>4</v>
      </c>
      <c r="C1198" s="5">
        <f t="shared" si="75"/>
        <v>10</v>
      </c>
      <c r="D1198" s="5">
        <f t="shared" si="76"/>
        <v>2024</v>
      </c>
      <c r="E1198" s="5" t="str">
        <f t="shared" si="77"/>
        <v>Q4</v>
      </c>
      <c r="F1198" s="5">
        <v>164.4100037</v>
      </c>
      <c r="G1198" s="5">
        <v>166.63999939999999</v>
      </c>
      <c r="H1198" s="5">
        <v>163.91999820000001</v>
      </c>
      <c r="I1198" s="5">
        <v>165.86000060000001</v>
      </c>
      <c r="J1198" s="5">
        <v>15073100</v>
      </c>
      <c r="K1198" s="5">
        <v>165.67013549999999</v>
      </c>
      <c r="R1198" s="1">
        <f t="shared" si="78"/>
        <v>45576</v>
      </c>
    </row>
    <row r="1199" spans="1:18" hidden="1">
      <c r="A1199" s="4">
        <v>45572</v>
      </c>
      <c r="B1199" s="5">
        <f t="shared" si="74"/>
        <v>7</v>
      </c>
      <c r="C1199" s="5">
        <f t="shared" si="75"/>
        <v>10</v>
      </c>
      <c r="D1199" s="5">
        <f t="shared" si="76"/>
        <v>2024</v>
      </c>
      <c r="E1199" s="5" t="str">
        <f t="shared" si="77"/>
        <v>Q4</v>
      </c>
      <c r="F1199" s="5">
        <v>168.0599976</v>
      </c>
      <c r="G1199" s="5">
        <v>168.22999569999999</v>
      </c>
      <c r="H1199" s="5">
        <v>165.47999569999999</v>
      </c>
      <c r="I1199" s="5">
        <v>167.0599976</v>
      </c>
      <c r="J1199" s="5">
        <v>19047400</v>
      </c>
      <c r="K1199" s="5">
        <v>166.8687592</v>
      </c>
      <c r="R1199" s="1">
        <f t="shared" si="78"/>
        <v>45579</v>
      </c>
    </row>
    <row r="1200" spans="1:18" hidden="1">
      <c r="A1200" s="4">
        <v>45573</v>
      </c>
      <c r="B1200" s="5">
        <f t="shared" si="74"/>
        <v>8</v>
      </c>
      <c r="C1200" s="5">
        <f t="shared" si="75"/>
        <v>10</v>
      </c>
      <c r="D1200" s="5">
        <f t="shared" si="76"/>
        <v>2024</v>
      </c>
      <c r="E1200" s="5" t="str">
        <f t="shared" si="77"/>
        <v>Q4</v>
      </c>
      <c r="F1200" s="5">
        <v>167.72000120000001</v>
      </c>
      <c r="G1200" s="5">
        <v>168.47999569999999</v>
      </c>
      <c r="H1200" s="5">
        <v>162.75</v>
      </c>
      <c r="I1200" s="5">
        <v>162.97999569999999</v>
      </c>
      <c r="J1200" s="5">
        <v>22463100</v>
      </c>
      <c r="K1200" s="5">
        <v>162.79342650000001</v>
      </c>
      <c r="R1200" s="1">
        <f t="shared" si="78"/>
        <v>45580</v>
      </c>
    </row>
    <row r="1201" spans="1:18" hidden="1">
      <c r="A1201" s="4">
        <v>45574</v>
      </c>
      <c r="B1201" s="5">
        <f t="shared" si="74"/>
        <v>9</v>
      </c>
      <c r="C1201" s="5">
        <f t="shared" si="75"/>
        <v>10</v>
      </c>
      <c r="D1201" s="5">
        <f t="shared" si="76"/>
        <v>2024</v>
      </c>
      <c r="E1201" s="5" t="str">
        <f t="shared" si="77"/>
        <v>Q4</v>
      </c>
      <c r="F1201" s="5">
        <v>163.9400024</v>
      </c>
      <c r="G1201" s="5">
        <v>164.72999569999999</v>
      </c>
      <c r="H1201" s="5">
        <v>162.86999510000001</v>
      </c>
      <c r="I1201" s="5">
        <v>164.38000489999999</v>
      </c>
      <c r="J1201" s="5">
        <v>23072700</v>
      </c>
      <c r="K1201" s="5">
        <v>164.1918335</v>
      </c>
      <c r="R1201" s="1">
        <f t="shared" si="78"/>
        <v>45581</v>
      </c>
    </row>
    <row r="1202" spans="1:18" hidden="1">
      <c r="A1202" s="4">
        <v>45575</v>
      </c>
      <c r="B1202" s="5">
        <f t="shared" si="74"/>
        <v>10</v>
      </c>
      <c r="C1202" s="5">
        <f t="shared" si="75"/>
        <v>10</v>
      </c>
      <c r="D1202" s="5">
        <f t="shared" si="76"/>
        <v>2024</v>
      </c>
      <c r="E1202" s="5" t="str">
        <f t="shared" si="77"/>
        <v>Q4</v>
      </c>
      <c r="F1202" s="5">
        <v>163.4499969</v>
      </c>
      <c r="G1202" s="5">
        <v>164.8399963</v>
      </c>
      <c r="H1202" s="5">
        <v>159.7400055</v>
      </c>
      <c r="I1202" s="5">
        <v>161.86000060000001</v>
      </c>
      <c r="J1202" s="5">
        <v>31181800</v>
      </c>
      <c r="K1202" s="5">
        <v>161.67471309999999</v>
      </c>
      <c r="R1202" s="1">
        <f t="shared" si="78"/>
        <v>45582</v>
      </c>
    </row>
    <row r="1203" spans="1:18" hidden="1">
      <c r="A1203" s="4">
        <v>45576</v>
      </c>
      <c r="B1203" s="5">
        <f t="shared" si="74"/>
        <v>11</v>
      </c>
      <c r="C1203" s="5">
        <f t="shared" si="75"/>
        <v>10</v>
      </c>
      <c r="D1203" s="5">
        <f t="shared" si="76"/>
        <v>2024</v>
      </c>
      <c r="E1203" s="5" t="str">
        <f t="shared" si="77"/>
        <v>Q4</v>
      </c>
      <c r="F1203" s="5">
        <v>160.86999510000001</v>
      </c>
      <c r="G1203" s="5">
        <v>163.07000729999999</v>
      </c>
      <c r="H1203" s="5">
        <v>160.3999939</v>
      </c>
      <c r="I1203" s="5">
        <v>162.08000179999999</v>
      </c>
      <c r="J1203" s="5">
        <v>14144100</v>
      </c>
      <c r="K1203" s="5">
        <v>161.89445499999999</v>
      </c>
      <c r="R1203" s="1">
        <f t="shared" si="78"/>
        <v>45583</v>
      </c>
    </row>
    <row r="1204" spans="1:18" hidden="1">
      <c r="A1204" s="4">
        <v>45579</v>
      </c>
      <c r="B1204" s="5">
        <f t="shared" si="74"/>
        <v>14</v>
      </c>
      <c r="C1204" s="5">
        <f t="shared" si="75"/>
        <v>10</v>
      </c>
      <c r="D1204" s="5">
        <f t="shared" si="76"/>
        <v>2024</v>
      </c>
      <c r="E1204" s="5" t="str">
        <f t="shared" si="77"/>
        <v>Q4</v>
      </c>
      <c r="F1204" s="5">
        <v>162.13000489999999</v>
      </c>
      <c r="G1204" s="5">
        <v>163.8999939</v>
      </c>
      <c r="H1204" s="5">
        <v>161.2400055</v>
      </c>
      <c r="I1204" s="5">
        <v>163.2400055</v>
      </c>
      <c r="J1204" s="5">
        <v>15344300</v>
      </c>
      <c r="K1204" s="5">
        <v>163.0531311</v>
      </c>
      <c r="R1204" s="1">
        <f t="shared" si="78"/>
        <v>45586</v>
      </c>
    </row>
    <row r="1205" spans="1:18" hidden="1">
      <c r="A1205" s="4">
        <v>45580</v>
      </c>
      <c r="B1205" s="5">
        <f t="shared" si="74"/>
        <v>15</v>
      </c>
      <c r="C1205" s="5">
        <f t="shared" si="75"/>
        <v>10</v>
      </c>
      <c r="D1205" s="5">
        <f t="shared" si="76"/>
        <v>2024</v>
      </c>
      <c r="E1205" s="5" t="str">
        <f t="shared" si="77"/>
        <v>Q4</v>
      </c>
      <c r="F1205" s="5">
        <v>163.63999939999999</v>
      </c>
      <c r="G1205" s="5">
        <v>166.22999569999999</v>
      </c>
      <c r="H1205" s="5">
        <v>163.3999939</v>
      </c>
      <c r="I1205" s="5">
        <v>164.96000670000001</v>
      </c>
      <c r="J1205" s="5">
        <v>19016100</v>
      </c>
      <c r="K1205" s="5">
        <v>164.7711639</v>
      </c>
      <c r="R1205" s="1">
        <f t="shared" si="78"/>
        <v>45587</v>
      </c>
    </row>
    <row r="1206" spans="1:18" hidden="1">
      <c r="A1206" s="4">
        <v>45581</v>
      </c>
      <c r="B1206" s="5">
        <f t="shared" si="74"/>
        <v>16</v>
      </c>
      <c r="C1206" s="5">
        <f t="shared" si="75"/>
        <v>10</v>
      </c>
      <c r="D1206" s="5">
        <f t="shared" si="76"/>
        <v>2024</v>
      </c>
      <c r="E1206" s="5" t="str">
        <f t="shared" si="77"/>
        <v>Q4</v>
      </c>
      <c r="F1206" s="5">
        <v>165.78999329999999</v>
      </c>
      <c r="G1206" s="5">
        <v>167.67999270000001</v>
      </c>
      <c r="H1206" s="5">
        <v>164.63000489999999</v>
      </c>
      <c r="I1206" s="5">
        <v>165.46000670000001</v>
      </c>
      <c r="J1206" s="5">
        <v>20247200</v>
      </c>
      <c r="K1206" s="5">
        <v>165.27059940000001</v>
      </c>
      <c r="R1206" s="1">
        <f t="shared" si="78"/>
        <v>45588</v>
      </c>
    </row>
    <row r="1207" spans="1:18" hidden="1">
      <c r="A1207" s="4">
        <v>45582</v>
      </c>
      <c r="B1207" s="5">
        <f t="shared" si="74"/>
        <v>17</v>
      </c>
      <c r="C1207" s="5">
        <f t="shared" si="75"/>
        <v>10</v>
      </c>
      <c r="D1207" s="5">
        <f t="shared" si="76"/>
        <v>2024</v>
      </c>
      <c r="E1207" s="5" t="str">
        <f t="shared" si="77"/>
        <v>Q4</v>
      </c>
      <c r="F1207" s="5">
        <v>164.52999879999999</v>
      </c>
      <c r="G1207" s="5">
        <v>165.8000031</v>
      </c>
      <c r="H1207" s="5">
        <v>163.7400055</v>
      </c>
      <c r="I1207" s="5">
        <v>165.1600037</v>
      </c>
      <c r="J1207" s="5">
        <v>16406000</v>
      </c>
      <c r="K1207" s="5">
        <v>164.970932</v>
      </c>
      <c r="R1207" s="1">
        <f t="shared" si="78"/>
        <v>45589</v>
      </c>
    </row>
    <row r="1208" spans="1:18" hidden="1">
      <c r="A1208" s="4">
        <v>45583</v>
      </c>
      <c r="B1208" s="5">
        <f t="shared" si="74"/>
        <v>18</v>
      </c>
      <c r="C1208" s="5">
        <f t="shared" si="75"/>
        <v>10</v>
      </c>
      <c r="D1208" s="5">
        <f t="shared" si="76"/>
        <v>2024</v>
      </c>
      <c r="E1208" s="5" t="str">
        <f t="shared" si="77"/>
        <v>Q4</v>
      </c>
      <c r="F1208" s="5">
        <v>165.72999569999999</v>
      </c>
      <c r="G1208" s="5">
        <v>166.36999510000001</v>
      </c>
      <c r="H1208" s="5">
        <v>162.7599945</v>
      </c>
      <c r="I1208" s="5">
        <v>162.92999270000001</v>
      </c>
      <c r="J1208" s="5">
        <v>21453400</v>
      </c>
      <c r="K1208" s="5">
        <v>162.74346919999999</v>
      </c>
      <c r="R1208" s="1">
        <f t="shared" si="78"/>
        <v>45590</v>
      </c>
    </row>
    <row r="1209" spans="1:18" hidden="1">
      <c r="A1209" s="4">
        <v>45586</v>
      </c>
      <c r="B1209" s="5">
        <f t="shared" si="74"/>
        <v>21</v>
      </c>
      <c r="C1209" s="5">
        <f t="shared" si="75"/>
        <v>10</v>
      </c>
      <c r="D1209" s="5">
        <f t="shared" si="76"/>
        <v>2024</v>
      </c>
      <c r="E1209" s="5" t="str">
        <f t="shared" si="77"/>
        <v>Q4</v>
      </c>
      <c r="F1209" s="5">
        <v>163.1900024</v>
      </c>
      <c r="G1209" s="5">
        <v>164.71000670000001</v>
      </c>
      <c r="H1209" s="5">
        <v>163.08000179999999</v>
      </c>
      <c r="I1209" s="5">
        <v>163.41999820000001</v>
      </c>
      <c r="J1209" s="5">
        <v>19757700</v>
      </c>
      <c r="K1209" s="5">
        <v>163.2329254</v>
      </c>
      <c r="R1209" s="1">
        <f t="shared" si="78"/>
        <v>45593</v>
      </c>
    </row>
    <row r="1210" spans="1:18" hidden="1">
      <c r="A1210" s="4">
        <v>45587</v>
      </c>
      <c r="B1210" s="5">
        <f t="shared" si="74"/>
        <v>22</v>
      </c>
      <c r="C1210" s="5">
        <f t="shared" si="75"/>
        <v>10</v>
      </c>
      <c r="D1210" s="5">
        <f t="shared" si="76"/>
        <v>2024</v>
      </c>
      <c r="E1210" s="5" t="str">
        <f t="shared" si="77"/>
        <v>Q4</v>
      </c>
      <c r="F1210" s="5">
        <v>162.9499969</v>
      </c>
      <c r="G1210" s="5">
        <v>164.5</v>
      </c>
      <c r="H1210" s="5">
        <v>162.61999510000001</v>
      </c>
      <c r="I1210" s="5">
        <v>164.07000729999999</v>
      </c>
      <c r="J1210" s="5">
        <v>20946500</v>
      </c>
      <c r="K1210" s="5">
        <v>163.88218689999999</v>
      </c>
      <c r="R1210" s="1">
        <f t="shared" si="78"/>
        <v>45594</v>
      </c>
    </row>
    <row r="1211" spans="1:18" hidden="1">
      <c r="A1211" s="4">
        <v>45588</v>
      </c>
      <c r="B1211" s="5">
        <f t="shared" si="74"/>
        <v>23</v>
      </c>
      <c r="C1211" s="5">
        <f t="shared" si="75"/>
        <v>10</v>
      </c>
      <c r="D1211" s="5">
        <f t="shared" si="76"/>
        <v>2024</v>
      </c>
      <c r="E1211" s="5" t="str">
        <f t="shared" si="77"/>
        <v>Q4</v>
      </c>
      <c r="F1211" s="5">
        <v>162.97999569999999</v>
      </c>
      <c r="G1211" s="5">
        <v>165.77000430000001</v>
      </c>
      <c r="H1211" s="5">
        <v>162.97999569999999</v>
      </c>
      <c r="I1211" s="5">
        <v>165.13999939999999</v>
      </c>
      <c r="J1211" s="5">
        <v>16568100</v>
      </c>
      <c r="K1211" s="5">
        <v>164.9509583</v>
      </c>
      <c r="R1211" s="1">
        <f t="shared" si="78"/>
        <v>45595</v>
      </c>
    </row>
    <row r="1212" spans="1:18" hidden="1">
      <c r="A1212" s="4">
        <v>45589</v>
      </c>
      <c r="B1212" s="5">
        <f t="shared" si="74"/>
        <v>24</v>
      </c>
      <c r="C1212" s="5">
        <f t="shared" si="75"/>
        <v>10</v>
      </c>
      <c r="D1212" s="5">
        <f t="shared" si="76"/>
        <v>2024</v>
      </c>
      <c r="E1212" s="5" t="str">
        <f t="shared" si="77"/>
        <v>Q4</v>
      </c>
      <c r="F1212" s="5">
        <v>164.7599945</v>
      </c>
      <c r="G1212" s="5">
        <v>165.82000729999999</v>
      </c>
      <c r="H1212" s="5">
        <v>161.92999270000001</v>
      </c>
      <c r="I1212" s="5">
        <v>162.77999879999999</v>
      </c>
      <c r="J1212" s="5">
        <v>18280500</v>
      </c>
      <c r="K1212" s="5">
        <v>162.59365840000001</v>
      </c>
      <c r="R1212" s="1">
        <f t="shared" si="78"/>
        <v>45596</v>
      </c>
    </row>
    <row r="1213" spans="1:18" hidden="1">
      <c r="A1213" s="4">
        <v>45590</v>
      </c>
      <c r="B1213" s="5">
        <f t="shared" si="74"/>
        <v>25</v>
      </c>
      <c r="C1213" s="5">
        <f t="shared" si="75"/>
        <v>10</v>
      </c>
      <c r="D1213" s="5">
        <f t="shared" si="76"/>
        <v>2024</v>
      </c>
      <c r="E1213" s="5" t="str">
        <f t="shared" si="77"/>
        <v>Q4</v>
      </c>
      <c r="F1213" s="5">
        <v>162.83000179999999</v>
      </c>
      <c r="G1213" s="5">
        <v>163.33000179999999</v>
      </c>
      <c r="H1213" s="5">
        <v>161.0099945</v>
      </c>
      <c r="I1213" s="5">
        <v>162.72000120000001</v>
      </c>
      <c r="J1213" s="5">
        <v>22412500</v>
      </c>
      <c r="K1213" s="5">
        <v>162.53372189999999</v>
      </c>
      <c r="R1213" s="1">
        <f t="shared" si="78"/>
        <v>45597</v>
      </c>
    </row>
    <row r="1214" spans="1:18" hidden="1">
      <c r="A1214" s="4">
        <v>45593</v>
      </c>
      <c r="B1214" s="5">
        <f t="shared" si="74"/>
        <v>28</v>
      </c>
      <c r="C1214" s="5">
        <f t="shared" si="75"/>
        <v>10</v>
      </c>
      <c r="D1214" s="5">
        <f t="shared" si="76"/>
        <v>2024</v>
      </c>
      <c r="E1214" s="5" t="str">
        <f t="shared" si="77"/>
        <v>Q4</v>
      </c>
      <c r="F1214" s="5">
        <v>163.66999820000001</v>
      </c>
      <c r="G1214" s="5">
        <v>165.5899963</v>
      </c>
      <c r="H1214" s="5">
        <v>163.41999820000001</v>
      </c>
      <c r="I1214" s="5">
        <v>165.27000430000001</v>
      </c>
      <c r="J1214" s="5">
        <v>19828900</v>
      </c>
      <c r="K1214" s="5">
        <v>165.08081050000001</v>
      </c>
      <c r="R1214" s="1">
        <f t="shared" si="78"/>
        <v>45600</v>
      </c>
    </row>
    <row r="1215" spans="1:18" hidden="1">
      <c r="A1215" s="4">
        <v>45594</v>
      </c>
      <c r="B1215" s="5">
        <f t="shared" si="74"/>
        <v>29</v>
      </c>
      <c r="C1215" s="5">
        <f t="shared" si="75"/>
        <v>10</v>
      </c>
      <c r="D1215" s="5">
        <f t="shared" si="76"/>
        <v>2024</v>
      </c>
      <c r="E1215" s="5" t="str">
        <f t="shared" si="77"/>
        <v>Q4</v>
      </c>
      <c r="F1215" s="5">
        <v>168.75</v>
      </c>
      <c r="G1215" s="5">
        <v>168.75</v>
      </c>
      <c r="H1215" s="5">
        <v>163.9499969</v>
      </c>
      <c r="I1215" s="5">
        <v>166.72000120000001</v>
      </c>
      <c r="J1215" s="5">
        <v>32138600</v>
      </c>
      <c r="K1215" s="5">
        <v>166.52914430000001</v>
      </c>
      <c r="R1215" s="1">
        <f t="shared" si="78"/>
        <v>45601</v>
      </c>
    </row>
    <row r="1216" spans="1:18" hidden="1">
      <c r="A1216" s="4">
        <v>45595</v>
      </c>
      <c r="B1216" s="5">
        <f t="shared" si="74"/>
        <v>30</v>
      </c>
      <c r="C1216" s="5">
        <f t="shared" si="75"/>
        <v>10</v>
      </c>
      <c r="D1216" s="5">
        <f t="shared" si="76"/>
        <v>2024</v>
      </c>
      <c r="E1216" s="5" t="str">
        <f t="shared" si="77"/>
        <v>Q4</v>
      </c>
      <c r="F1216" s="5">
        <v>167.72999569999999</v>
      </c>
      <c r="G1216" s="5">
        <v>170.38000489999999</v>
      </c>
      <c r="H1216" s="5">
        <v>167.0899963</v>
      </c>
      <c r="I1216" s="5">
        <v>169.67999270000001</v>
      </c>
      <c r="J1216" s="5">
        <v>42169000</v>
      </c>
      <c r="K1216" s="5">
        <v>169.48574830000001</v>
      </c>
      <c r="R1216" s="1">
        <f t="shared" si="78"/>
        <v>45602</v>
      </c>
    </row>
    <row r="1217" spans="1:18" hidden="1">
      <c r="A1217" s="4">
        <v>45596</v>
      </c>
      <c r="B1217" s="5">
        <f t="shared" si="74"/>
        <v>31</v>
      </c>
      <c r="C1217" s="5">
        <f t="shared" si="75"/>
        <v>10</v>
      </c>
      <c r="D1217" s="5">
        <f t="shared" si="76"/>
        <v>2024</v>
      </c>
      <c r="E1217" s="5" t="str">
        <f t="shared" si="77"/>
        <v>Q4</v>
      </c>
      <c r="F1217" s="5">
        <v>180.67999270000001</v>
      </c>
      <c r="G1217" s="5">
        <v>182.02000430000001</v>
      </c>
      <c r="H1217" s="5">
        <v>174.0599976</v>
      </c>
      <c r="I1217" s="5">
        <v>174.46000670000001</v>
      </c>
      <c r="J1217" s="5">
        <v>68890800</v>
      </c>
      <c r="K1217" s="5">
        <v>174.26028439999999</v>
      </c>
      <c r="R1217" s="1">
        <f t="shared" si="78"/>
        <v>45603</v>
      </c>
    </row>
    <row r="1218" spans="1:18" hidden="1">
      <c r="A1218" s="4">
        <v>45597</v>
      </c>
      <c r="B1218" s="5">
        <f t="shared" ref="B1218:B1259" si="79">DAY(A1218)</f>
        <v>1</v>
      </c>
      <c r="C1218" s="5">
        <f t="shared" ref="C1218:C1259" si="80">MONTH(A1218)</f>
        <v>11</v>
      </c>
      <c r="D1218" s="5">
        <f t="shared" ref="D1218:D1259" si="81">YEAR(A1218)</f>
        <v>2024</v>
      </c>
      <c r="E1218" s="5" t="str">
        <f t="shared" ref="E1218:E1259" si="82">"Q"&amp;ROUNDUP(MONTH(A1218)/3,0)</f>
        <v>Q4</v>
      </c>
      <c r="F1218" s="5">
        <v>173.13000489999999</v>
      </c>
      <c r="G1218" s="5">
        <v>176.82000729999999</v>
      </c>
      <c r="H1218" s="5">
        <v>171</v>
      </c>
      <c r="I1218" s="5">
        <v>171.11000060000001</v>
      </c>
      <c r="J1218" s="5">
        <v>44769000</v>
      </c>
      <c r="K1218" s="5">
        <v>170.91412349999999</v>
      </c>
      <c r="R1218" s="1">
        <f t="shared" si="78"/>
        <v>45604</v>
      </c>
    </row>
    <row r="1219" spans="1:18" hidden="1">
      <c r="A1219" s="4">
        <v>45600</v>
      </c>
      <c r="B1219" s="5">
        <f t="shared" si="79"/>
        <v>4</v>
      </c>
      <c r="C1219" s="5">
        <f t="shared" si="80"/>
        <v>11</v>
      </c>
      <c r="D1219" s="5">
        <f t="shared" si="81"/>
        <v>2024</v>
      </c>
      <c r="E1219" s="5" t="str">
        <f t="shared" si="82"/>
        <v>Q4</v>
      </c>
      <c r="F1219" s="5">
        <v>170.07000729999999</v>
      </c>
      <c r="G1219" s="5">
        <v>172.32000729999999</v>
      </c>
      <c r="H1219" s="5">
        <v>168.88000489999999</v>
      </c>
      <c r="I1219" s="5">
        <v>171.28999329999999</v>
      </c>
      <c r="J1219" s="5">
        <v>31796500</v>
      </c>
      <c r="K1219" s="5">
        <v>171.09390260000001</v>
      </c>
      <c r="R1219" s="1">
        <f t="shared" si="78"/>
        <v>45607</v>
      </c>
    </row>
    <row r="1220" spans="1:18" hidden="1">
      <c r="A1220" s="4">
        <v>45601</v>
      </c>
      <c r="B1220" s="5">
        <f t="shared" si="79"/>
        <v>5</v>
      </c>
      <c r="C1220" s="5">
        <f t="shared" si="80"/>
        <v>11</v>
      </c>
      <c r="D1220" s="5">
        <f t="shared" si="81"/>
        <v>2024</v>
      </c>
      <c r="E1220" s="5" t="str">
        <f t="shared" si="82"/>
        <v>Q4</v>
      </c>
      <c r="F1220" s="5">
        <v>169.92999270000001</v>
      </c>
      <c r="G1220" s="5">
        <v>170.72999569999999</v>
      </c>
      <c r="H1220" s="5">
        <v>168.0099945</v>
      </c>
      <c r="I1220" s="5">
        <v>169.2400055</v>
      </c>
      <c r="J1220" s="5">
        <v>21492700</v>
      </c>
      <c r="K1220" s="5">
        <v>169.0462646</v>
      </c>
      <c r="R1220" s="1">
        <f t="shared" si="78"/>
        <v>45608</v>
      </c>
    </row>
    <row r="1221" spans="1:18" hidden="1">
      <c r="A1221" s="4">
        <v>45602</v>
      </c>
      <c r="B1221" s="5">
        <f t="shared" si="79"/>
        <v>6</v>
      </c>
      <c r="C1221" s="5">
        <f t="shared" si="80"/>
        <v>11</v>
      </c>
      <c r="D1221" s="5">
        <f t="shared" si="81"/>
        <v>2024</v>
      </c>
      <c r="E1221" s="5" t="str">
        <f t="shared" si="82"/>
        <v>Q4</v>
      </c>
      <c r="F1221" s="5">
        <v>169.42999270000001</v>
      </c>
      <c r="G1221" s="5">
        <v>170.52999879999999</v>
      </c>
      <c r="H1221" s="5">
        <v>168.8399963</v>
      </c>
      <c r="I1221" s="5">
        <v>169.7400055</v>
      </c>
      <c r="J1221" s="5">
        <v>18242100</v>
      </c>
      <c r="K1221" s="5">
        <v>169.5457001</v>
      </c>
      <c r="R1221" s="1">
        <f t="shared" si="78"/>
        <v>45609</v>
      </c>
    </row>
    <row r="1222" spans="1:18" hidden="1">
      <c r="A1222" s="4">
        <v>45603</v>
      </c>
      <c r="B1222" s="5">
        <f t="shared" si="79"/>
        <v>7</v>
      </c>
      <c r="C1222" s="5">
        <f t="shared" si="80"/>
        <v>11</v>
      </c>
      <c r="D1222" s="5">
        <f t="shared" si="81"/>
        <v>2024</v>
      </c>
      <c r="E1222" s="5" t="str">
        <f t="shared" si="82"/>
        <v>Q4</v>
      </c>
      <c r="F1222" s="5">
        <v>173.8000031</v>
      </c>
      <c r="G1222" s="5">
        <v>176.9400024</v>
      </c>
      <c r="H1222" s="5">
        <v>173.5</v>
      </c>
      <c r="I1222" s="5">
        <v>176.5099945</v>
      </c>
      <c r="J1222" s="5">
        <v>33695500</v>
      </c>
      <c r="K1222" s="5">
        <v>176.3079376</v>
      </c>
      <c r="R1222" s="1">
        <f t="shared" si="78"/>
        <v>45610</v>
      </c>
    </row>
    <row r="1223" spans="1:18" hidden="1">
      <c r="A1223" s="4">
        <v>45604</v>
      </c>
      <c r="B1223" s="5">
        <f t="shared" si="79"/>
        <v>8</v>
      </c>
      <c r="C1223" s="5">
        <f t="shared" si="80"/>
        <v>11</v>
      </c>
      <c r="D1223" s="5">
        <f t="shared" si="81"/>
        <v>2024</v>
      </c>
      <c r="E1223" s="5" t="str">
        <f t="shared" si="82"/>
        <v>Q4</v>
      </c>
      <c r="F1223" s="5">
        <v>177.4100037</v>
      </c>
      <c r="G1223" s="5">
        <v>181.08000179999999</v>
      </c>
      <c r="H1223" s="5">
        <v>177.1900024</v>
      </c>
      <c r="I1223" s="5">
        <v>180.75</v>
      </c>
      <c r="J1223" s="5">
        <v>25352900</v>
      </c>
      <c r="K1223" s="5">
        <v>180.54309079999999</v>
      </c>
      <c r="R1223" s="1">
        <f t="shared" si="78"/>
        <v>45611</v>
      </c>
    </row>
    <row r="1224" spans="1:18" hidden="1">
      <c r="A1224" s="4">
        <v>45607</v>
      </c>
      <c r="B1224" s="5">
        <f t="shared" si="79"/>
        <v>11</v>
      </c>
      <c r="C1224" s="5">
        <f t="shared" si="80"/>
        <v>11</v>
      </c>
      <c r="D1224" s="5">
        <f t="shared" si="81"/>
        <v>2024</v>
      </c>
      <c r="E1224" s="5" t="str">
        <f t="shared" si="82"/>
        <v>Q4</v>
      </c>
      <c r="F1224" s="5">
        <v>180.6499939</v>
      </c>
      <c r="G1224" s="5">
        <v>180.8999939</v>
      </c>
      <c r="H1224" s="5">
        <v>178.08000179999999</v>
      </c>
      <c r="I1224" s="5">
        <v>178.3500061</v>
      </c>
      <c r="J1224" s="5">
        <v>22006200</v>
      </c>
      <c r="K1224" s="5">
        <v>178.14584350000001</v>
      </c>
      <c r="R1224" s="1">
        <f t="shared" si="78"/>
        <v>45614</v>
      </c>
    </row>
    <row r="1225" spans="1:18" hidden="1">
      <c r="A1225" s="4">
        <v>45608</v>
      </c>
      <c r="B1225" s="5">
        <f t="shared" si="79"/>
        <v>12</v>
      </c>
      <c r="C1225" s="5">
        <f t="shared" si="80"/>
        <v>11</v>
      </c>
      <c r="D1225" s="5">
        <f t="shared" si="81"/>
        <v>2024</v>
      </c>
      <c r="E1225" s="5" t="str">
        <f t="shared" si="82"/>
        <v>Q4</v>
      </c>
      <c r="F1225" s="5">
        <v>178.58000179999999</v>
      </c>
      <c r="G1225" s="5">
        <v>180.5500031</v>
      </c>
      <c r="H1225" s="5">
        <v>178.47000120000001</v>
      </c>
      <c r="I1225" s="5">
        <v>180.3500061</v>
      </c>
      <c r="J1225" s="5">
        <v>17450400</v>
      </c>
      <c r="K1225" s="5">
        <v>180.14355470000001</v>
      </c>
      <c r="R1225" s="1">
        <f t="shared" si="78"/>
        <v>45615</v>
      </c>
    </row>
    <row r="1226" spans="1:18" hidden="1">
      <c r="A1226" s="4">
        <v>45609</v>
      </c>
      <c r="B1226" s="5">
        <f t="shared" si="79"/>
        <v>13</v>
      </c>
      <c r="C1226" s="5">
        <f t="shared" si="80"/>
        <v>11</v>
      </c>
      <c r="D1226" s="5">
        <f t="shared" si="81"/>
        <v>2024</v>
      </c>
      <c r="E1226" s="5" t="str">
        <f t="shared" si="82"/>
        <v>Q4</v>
      </c>
      <c r="F1226" s="5">
        <v>179.82000729999999</v>
      </c>
      <c r="G1226" s="5">
        <v>182.4900055</v>
      </c>
      <c r="H1226" s="5">
        <v>179.38999939999999</v>
      </c>
      <c r="I1226" s="5">
        <v>181.61999510000001</v>
      </c>
      <c r="J1226" s="5">
        <v>25134900</v>
      </c>
      <c r="K1226" s="5">
        <v>181.41207890000001</v>
      </c>
      <c r="R1226" s="1">
        <f t="shared" si="78"/>
        <v>45616</v>
      </c>
    </row>
    <row r="1227" spans="1:18" hidden="1">
      <c r="A1227" s="4">
        <v>45610</v>
      </c>
      <c r="B1227" s="5">
        <f t="shared" si="79"/>
        <v>14</v>
      </c>
      <c r="C1227" s="5">
        <f t="shared" si="80"/>
        <v>11</v>
      </c>
      <c r="D1227" s="5">
        <f t="shared" si="81"/>
        <v>2024</v>
      </c>
      <c r="E1227" s="5" t="str">
        <f t="shared" si="82"/>
        <v>Q4</v>
      </c>
      <c r="F1227" s="5">
        <v>180.46000670000001</v>
      </c>
      <c r="G1227" s="5">
        <v>180.96000670000001</v>
      </c>
      <c r="H1227" s="5">
        <v>178.53999329999999</v>
      </c>
      <c r="I1227" s="5">
        <v>178.88000489999999</v>
      </c>
      <c r="J1227" s="5">
        <v>23184000</v>
      </c>
      <c r="K1227" s="5">
        <v>178.6752319</v>
      </c>
      <c r="R1227" s="1">
        <f t="shared" si="78"/>
        <v>45617</v>
      </c>
    </row>
    <row r="1228" spans="1:18" hidden="1">
      <c r="A1228" s="4">
        <v>45611</v>
      </c>
      <c r="B1228" s="5">
        <f t="shared" si="79"/>
        <v>15</v>
      </c>
      <c r="C1228" s="5">
        <f t="shared" si="80"/>
        <v>11</v>
      </c>
      <c r="D1228" s="5">
        <f t="shared" si="81"/>
        <v>2024</v>
      </c>
      <c r="E1228" s="5" t="str">
        <f t="shared" si="82"/>
        <v>Q4</v>
      </c>
      <c r="F1228" s="5">
        <v>178.27999879999999</v>
      </c>
      <c r="G1228" s="5">
        <v>178.82000729999999</v>
      </c>
      <c r="H1228" s="5">
        <v>174.32000729999999</v>
      </c>
      <c r="I1228" s="5">
        <v>175.58000179999999</v>
      </c>
      <c r="J1228" s="5">
        <v>31007500</v>
      </c>
      <c r="K1228" s="5">
        <v>175.37899780000001</v>
      </c>
      <c r="R1228" s="1">
        <f t="shared" si="78"/>
        <v>45618</v>
      </c>
    </row>
    <row r="1229" spans="1:18" hidden="1">
      <c r="A1229" s="4">
        <v>45614</v>
      </c>
      <c r="B1229" s="5">
        <f t="shared" si="79"/>
        <v>18</v>
      </c>
      <c r="C1229" s="5">
        <f t="shared" si="80"/>
        <v>11</v>
      </c>
      <c r="D1229" s="5">
        <f t="shared" si="81"/>
        <v>2024</v>
      </c>
      <c r="E1229" s="5" t="str">
        <f t="shared" si="82"/>
        <v>Q4</v>
      </c>
      <c r="F1229" s="5">
        <v>173.72999569999999</v>
      </c>
      <c r="G1229" s="5">
        <v>174.13999939999999</v>
      </c>
      <c r="H1229" s="5">
        <v>171.22000120000001</v>
      </c>
      <c r="I1229" s="5">
        <v>172.4900055</v>
      </c>
      <c r="J1229" s="5">
        <v>32504600</v>
      </c>
      <c r="K1229" s="5">
        <v>172.2925415</v>
      </c>
      <c r="R1229" s="1">
        <f t="shared" si="78"/>
        <v>45621</v>
      </c>
    </row>
    <row r="1230" spans="1:18" hidden="1">
      <c r="A1230" s="4">
        <v>45615</v>
      </c>
      <c r="B1230" s="5">
        <f t="shared" si="79"/>
        <v>19</v>
      </c>
      <c r="C1230" s="5">
        <f t="shared" si="80"/>
        <v>11</v>
      </c>
      <c r="D1230" s="5">
        <f t="shared" si="81"/>
        <v>2024</v>
      </c>
      <c r="E1230" s="5" t="str">
        <f t="shared" si="82"/>
        <v>Q4</v>
      </c>
      <c r="F1230" s="5">
        <v>173.41999820000001</v>
      </c>
      <c r="G1230" s="5">
        <v>175.4400024</v>
      </c>
      <c r="H1230" s="5">
        <v>172.8999939</v>
      </c>
      <c r="I1230" s="5">
        <v>175.3000031</v>
      </c>
      <c r="J1230" s="5">
        <v>20206600</v>
      </c>
      <c r="K1230" s="5">
        <v>175.09931950000001</v>
      </c>
      <c r="R1230" s="1">
        <f t="shared" si="78"/>
        <v>45622</v>
      </c>
    </row>
    <row r="1231" spans="1:18" hidden="1">
      <c r="A1231" s="4">
        <v>45616</v>
      </c>
      <c r="B1231" s="5">
        <f t="shared" si="79"/>
        <v>20</v>
      </c>
      <c r="C1231" s="5">
        <f t="shared" si="80"/>
        <v>11</v>
      </c>
      <c r="D1231" s="5">
        <f t="shared" si="81"/>
        <v>2024</v>
      </c>
      <c r="E1231" s="5" t="str">
        <f t="shared" si="82"/>
        <v>Q4</v>
      </c>
      <c r="F1231" s="5">
        <v>173.72000120000001</v>
      </c>
      <c r="G1231" s="5">
        <v>178.86999510000001</v>
      </c>
      <c r="H1231" s="5">
        <v>173.5599976</v>
      </c>
      <c r="I1231" s="5">
        <v>178.11999510000001</v>
      </c>
      <c r="J1231" s="5">
        <v>23434900</v>
      </c>
      <c r="K1231" s="5">
        <v>177.9160919</v>
      </c>
      <c r="R1231" s="1">
        <f t="shared" si="78"/>
        <v>45623</v>
      </c>
    </row>
    <row r="1232" spans="1:18" hidden="1">
      <c r="A1232" s="4">
        <v>45617</v>
      </c>
      <c r="B1232" s="5">
        <f t="shared" si="79"/>
        <v>21</v>
      </c>
      <c r="C1232" s="5">
        <f t="shared" si="80"/>
        <v>11</v>
      </c>
      <c r="D1232" s="5">
        <f t="shared" si="81"/>
        <v>2024</v>
      </c>
      <c r="E1232" s="5" t="str">
        <f t="shared" si="82"/>
        <v>Q4</v>
      </c>
      <c r="F1232" s="5">
        <v>177.3399963</v>
      </c>
      <c r="G1232" s="5">
        <v>177.67999270000001</v>
      </c>
      <c r="H1232" s="5">
        <v>173.77999879999999</v>
      </c>
      <c r="I1232" s="5">
        <v>175.97999569999999</v>
      </c>
      <c r="J1232" s="5">
        <v>18997100</v>
      </c>
      <c r="K1232" s="5">
        <v>175.77853390000001</v>
      </c>
      <c r="R1232" s="1">
        <f t="shared" si="78"/>
        <v>45624</v>
      </c>
    </row>
    <row r="1233" spans="1:18" hidden="1">
      <c r="A1233" s="4">
        <v>45618</v>
      </c>
      <c r="B1233" s="5">
        <f t="shared" si="79"/>
        <v>22</v>
      </c>
      <c r="C1233" s="5">
        <f t="shared" si="80"/>
        <v>11</v>
      </c>
      <c r="D1233" s="5">
        <f t="shared" si="81"/>
        <v>2024</v>
      </c>
      <c r="E1233" s="5" t="str">
        <f t="shared" si="82"/>
        <v>Q4</v>
      </c>
      <c r="F1233" s="5">
        <v>173.8999939</v>
      </c>
      <c r="G1233" s="5">
        <v>174.13000489999999</v>
      </c>
      <c r="H1233" s="5">
        <v>163.6999969</v>
      </c>
      <c r="I1233" s="5">
        <v>167.63000489999999</v>
      </c>
      <c r="J1233" s="5">
        <v>59734400</v>
      </c>
      <c r="K1233" s="5">
        <v>167.4381104</v>
      </c>
      <c r="R1233" s="1">
        <f t="shared" ref="R1233:R1254" si="83">A1233+7</f>
        <v>45625</v>
      </c>
    </row>
    <row r="1234" spans="1:18" hidden="1">
      <c r="A1234" s="4">
        <v>45621</v>
      </c>
      <c r="B1234" s="5">
        <f t="shared" si="79"/>
        <v>25</v>
      </c>
      <c r="C1234" s="5">
        <f t="shared" si="80"/>
        <v>11</v>
      </c>
      <c r="D1234" s="5">
        <f t="shared" si="81"/>
        <v>2024</v>
      </c>
      <c r="E1234" s="5" t="str">
        <f t="shared" si="82"/>
        <v>Q4</v>
      </c>
      <c r="F1234" s="5">
        <v>165.8500061</v>
      </c>
      <c r="G1234" s="5">
        <v>166.46000670000001</v>
      </c>
      <c r="H1234" s="5">
        <v>163.8999939</v>
      </c>
      <c r="I1234" s="5">
        <v>164.7599945</v>
      </c>
      <c r="J1234" s="5">
        <v>38604600</v>
      </c>
      <c r="K1234" s="5">
        <v>164.5713806</v>
      </c>
      <c r="R1234" s="1">
        <f t="shared" si="83"/>
        <v>45628</v>
      </c>
    </row>
    <row r="1235" spans="1:18" hidden="1">
      <c r="A1235" s="4">
        <v>45622</v>
      </c>
      <c r="B1235" s="5">
        <f t="shared" si="79"/>
        <v>26</v>
      </c>
      <c r="C1235" s="5">
        <f t="shared" si="80"/>
        <v>11</v>
      </c>
      <c r="D1235" s="5">
        <f t="shared" si="81"/>
        <v>2024</v>
      </c>
      <c r="E1235" s="5" t="str">
        <f t="shared" si="82"/>
        <v>Q4</v>
      </c>
      <c r="F1235" s="5">
        <v>166.0899963</v>
      </c>
      <c r="G1235" s="5">
        <v>168.63000489999999</v>
      </c>
      <c r="H1235" s="5">
        <v>165.61000060000001</v>
      </c>
      <c r="I1235" s="5">
        <v>167.6499939</v>
      </c>
      <c r="J1235" s="5">
        <v>33135300</v>
      </c>
      <c r="K1235" s="5">
        <v>167.45806880000001</v>
      </c>
      <c r="R1235" s="1">
        <f t="shared" si="83"/>
        <v>45629</v>
      </c>
    </row>
    <row r="1236" spans="1:18" hidden="1">
      <c r="A1236" s="4">
        <v>45623</v>
      </c>
      <c r="B1236" s="5">
        <f t="shared" si="79"/>
        <v>27</v>
      </c>
      <c r="C1236" s="5">
        <f t="shared" si="80"/>
        <v>11</v>
      </c>
      <c r="D1236" s="5">
        <f t="shared" si="81"/>
        <v>2024</v>
      </c>
      <c r="E1236" s="5" t="str">
        <f t="shared" si="82"/>
        <v>Q4</v>
      </c>
      <c r="F1236" s="5">
        <v>167.63000489999999</v>
      </c>
      <c r="G1236" s="5">
        <v>169.82000729999999</v>
      </c>
      <c r="H1236" s="5">
        <v>167.58000179999999</v>
      </c>
      <c r="I1236" s="5">
        <v>169.11999510000001</v>
      </c>
      <c r="J1236" s="5">
        <v>20486700</v>
      </c>
      <c r="K1236" s="5">
        <v>168.92639159999999</v>
      </c>
      <c r="R1236" s="1">
        <f t="shared" si="83"/>
        <v>45630</v>
      </c>
    </row>
    <row r="1237" spans="1:18" hidden="1">
      <c r="A1237" s="4">
        <v>45625</v>
      </c>
      <c r="B1237" s="5">
        <f t="shared" si="79"/>
        <v>29</v>
      </c>
      <c r="C1237" s="5">
        <f t="shared" si="80"/>
        <v>11</v>
      </c>
      <c r="D1237" s="5">
        <f t="shared" si="81"/>
        <v>2024</v>
      </c>
      <c r="E1237" s="5" t="str">
        <f t="shared" si="82"/>
        <v>Q4</v>
      </c>
      <c r="F1237" s="5">
        <v>169</v>
      </c>
      <c r="G1237" s="5">
        <v>169.47999569999999</v>
      </c>
      <c r="H1237" s="5">
        <v>168.02000430000001</v>
      </c>
      <c r="I1237" s="5">
        <v>169.22999569999999</v>
      </c>
      <c r="J1237" s="5">
        <v>19266500</v>
      </c>
      <c r="K1237" s="5">
        <v>169.0362701</v>
      </c>
      <c r="R1237" s="1">
        <f t="shared" si="83"/>
        <v>45632</v>
      </c>
    </row>
    <row r="1238" spans="1:18" hidden="1">
      <c r="A1238" s="4">
        <v>45628</v>
      </c>
      <c r="B1238" s="5">
        <f t="shared" si="79"/>
        <v>2</v>
      </c>
      <c r="C1238" s="5">
        <f t="shared" si="80"/>
        <v>12</v>
      </c>
      <c r="D1238" s="5">
        <f t="shared" si="81"/>
        <v>2024</v>
      </c>
      <c r="E1238" s="5" t="str">
        <f t="shared" si="82"/>
        <v>Q4</v>
      </c>
      <c r="F1238" s="5">
        <v>168.5</v>
      </c>
      <c r="G1238" s="5">
        <v>169.42999270000001</v>
      </c>
      <c r="H1238" s="5">
        <v>167.1600037</v>
      </c>
      <c r="I1238" s="5">
        <v>168.9499969</v>
      </c>
      <c r="J1238" s="5">
        <v>14257200</v>
      </c>
      <c r="K1238" s="5">
        <v>168.7565918</v>
      </c>
      <c r="R1238" s="1">
        <f t="shared" si="83"/>
        <v>45635</v>
      </c>
    </row>
    <row r="1239" spans="1:18" hidden="1">
      <c r="A1239" s="4">
        <v>45629</v>
      </c>
      <c r="B1239" s="5">
        <f t="shared" si="79"/>
        <v>3</v>
      </c>
      <c r="C1239" s="5">
        <f t="shared" si="80"/>
        <v>12</v>
      </c>
      <c r="D1239" s="5">
        <f t="shared" si="81"/>
        <v>2024</v>
      </c>
      <c r="E1239" s="5" t="str">
        <f t="shared" si="82"/>
        <v>Q4</v>
      </c>
      <c r="F1239" s="5">
        <v>168.77000430000001</v>
      </c>
      <c r="G1239" s="5">
        <v>172.08000179999999</v>
      </c>
      <c r="H1239" s="5">
        <v>168.57000729999999</v>
      </c>
      <c r="I1239" s="5">
        <v>171.4900055</v>
      </c>
      <c r="J1239" s="5">
        <v>23789100</v>
      </c>
      <c r="K1239" s="5">
        <v>171.29368590000001</v>
      </c>
      <c r="R1239" s="1">
        <f t="shared" si="83"/>
        <v>45636</v>
      </c>
    </row>
    <row r="1240" spans="1:18" hidden="1">
      <c r="A1240" s="4">
        <v>45630</v>
      </c>
      <c r="B1240" s="5">
        <f t="shared" si="79"/>
        <v>4</v>
      </c>
      <c r="C1240" s="5">
        <f t="shared" si="80"/>
        <v>12</v>
      </c>
      <c r="D1240" s="5">
        <f t="shared" si="81"/>
        <v>2024</v>
      </c>
      <c r="E1240" s="5" t="str">
        <f t="shared" si="82"/>
        <v>Q4</v>
      </c>
      <c r="F1240" s="5">
        <v>171.4900055</v>
      </c>
      <c r="G1240" s="5">
        <v>172.67999270000001</v>
      </c>
      <c r="H1240" s="5">
        <v>170.8500061</v>
      </c>
      <c r="I1240" s="5">
        <v>171.3399963</v>
      </c>
      <c r="J1240" s="5">
        <v>22248700</v>
      </c>
      <c r="K1240" s="5">
        <v>171.14384459999999</v>
      </c>
      <c r="R1240" s="1">
        <f t="shared" si="83"/>
        <v>45637</v>
      </c>
    </row>
    <row r="1241" spans="1:18" hidden="1">
      <c r="A1241" s="4">
        <v>45631</v>
      </c>
      <c r="B1241" s="5">
        <f t="shared" si="79"/>
        <v>5</v>
      </c>
      <c r="C1241" s="5">
        <f t="shared" si="80"/>
        <v>12</v>
      </c>
      <c r="D1241" s="5">
        <f t="shared" si="81"/>
        <v>2024</v>
      </c>
      <c r="E1241" s="5" t="str">
        <f t="shared" si="82"/>
        <v>Q4</v>
      </c>
      <c r="F1241" s="5">
        <v>171.1499939</v>
      </c>
      <c r="G1241" s="5">
        <v>174.9100037</v>
      </c>
      <c r="H1241" s="5">
        <v>171.0599976</v>
      </c>
      <c r="I1241" s="5">
        <v>174.36999510000001</v>
      </c>
      <c r="J1241" s="5">
        <v>31615100</v>
      </c>
      <c r="K1241" s="5">
        <v>174.17037959999999</v>
      </c>
      <c r="R1241" s="1">
        <f t="shared" si="83"/>
        <v>45638</v>
      </c>
    </row>
    <row r="1242" spans="1:18" hidden="1">
      <c r="A1242" s="4">
        <v>45632</v>
      </c>
      <c r="B1242" s="5">
        <f t="shared" si="79"/>
        <v>6</v>
      </c>
      <c r="C1242" s="5">
        <f t="shared" si="80"/>
        <v>12</v>
      </c>
      <c r="D1242" s="5">
        <f t="shared" si="81"/>
        <v>2024</v>
      </c>
      <c r="E1242" s="5" t="str">
        <f t="shared" si="82"/>
        <v>Q4</v>
      </c>
      <c r="F1242" s="5">
        <v>175.36000060000001</v>
      </c>
      <c r="G1242" s="5">
        <v>176.0599976</v>
      </c>
      <c r="H1242" s="5">
        <v>172.33000179999999</v>
      </c>
      <c r="I1242" s="5">
        <v>172.63999939999999</v>
      </c>
      <c r="J1242" s="5">
        <v>21356200</v>
      </c>
      <c r="K1242" s="5">
        <v>172.44236760000001</v>
      </c>
      <c r="R1242" s="1">
        <f t="shared" si="83"/>
        <v>45639</v>
      </c>
    </row>
    <row r="1243" spans="1:18" hidden="1">
      <c r="A1243" s="4">
        <v>45635</v>
      </c>
      <c r="B1243" s="5">
        <f t="shared" si="79"/>
        <v>9</v>
      </c>
      <c r="C1243" s="5">
        <f t="shared" si="80"/>
        <v>12</v>
      </c>
      <c r="D1243" s="5">
        <f t="shared" si="81"/>
        <v>2024</v>
      </c>
      <c r="E1243" s="5" t="str">
        <f t="shared" si="82"/>
        <v>Q4</v>
      </c>
      <c r="F1243" s="5">
        <v>172.02999879999999</v>
      </c>
      <c r="G1243" s="5">
        <v>175.08000179999999</v>
      </c>
      <c r="H1243" s="5">
        <v>171.86000060000001</v>
      </c>
      <c r="I1243" s="5">
        <v>174.71000670000001</v>
      </c>
      <c r="J1243" s="5">
        <v>21462400</v>
      </c>
      <c r="K1243" s="5">
        <v>174.51000980000001</v>
      </c>
      <c r="R1243" s="1">
        <f t="shared" si="83"/>
        <v>45642</v>
      </c>
    </row>
    <row r="1244" spans="1:18" hidden="1">
      <c r="A1244" s="4">
        <v>45636</v>
      </c>
      <c r="B1244" s="5">
        <f t="shared" si="79"/>
        <v>10</v>
      </c>
      <c r="C1244" s="5">
        <f t="shared" si="80"/>
        <v>12</v>
      </c>
      <c r="D1244" s="5">
        <f t="shared" si="81"/>
        <v>2024</v>
      </c>
      <c r="E1244" s="5" t="str">
        <f t="shared" si="82"/>
        <v>Q4</v>
      </c>
      <c r="F1244" s="5">
        <v>173.96000670000001</v>
      </c>
      <c r="G1244" s="5">
        <v>176.2599945</v>
      </c>
      <c r="H1244" s="5">
        <v>173.6499939</v>
      </c>
      <c r="I1244" s="5">
        <v>175.36999510000001</v>
      </c>
      <c r="J1244" s="5">
        <v>25389600</v>
      </c>
      <c r="K1244" s="5">
        <v>175.36999510000001</v>
      </c>
      <c r="R1244" s="1">
        <f t="shared" si="83"/>
        <v>45643</v>
      </c>
    </row>
    <row r="1245" spans="1:18" hidden="1">
      <c r="A1245" s="4">
        <v>45637</v>
      </c>
      <c r="B1245" s="5">
        <f t="shared" si="79"/>
        <v>11</v>
      </c>
      <c r="C1245" s="5">
        <f t="shared" si="80"/>
        <v>12</v>
      </c>
      <c r="D1245" s="5">
        <f t="shared" si="81"/>
        <v>2024</v>
      </c>
      <c r="E1245" s="5" t="str">
        <f t="shared" si="82"/>
        <v>Q4</v>
      </c>
      <c r="F1245" s="5">
        <v>182.8500061</v>
      </c>
      <c r="G1245" s="5">
        <v>186.36000060000001</v>
      </c>
      <c r="H1245" s="5">
        <v>181.0500031</v>
      </c>
      <c r="I1245" s="5">
        <v>185.16999820000001</v>
      </c>
      <c r="J1245" s="5">
        <v>54813000</v>
      </c>
      <c r="K1245" s="5">
        <v>185.16999820000001</v>
      </c>
      <c r="R1245" s="1">
        <f t="shared" si="83"/>
        <v>45644</v>
      </c>
    </row>
    <row r="1246" spans="1:18" hidden="1">
      <c r="A1246" s="4">
        <v>45638</v>
      </c>
      <c r="B1246" s="5">
        <f t="shared" si="79"/>
        <v>12</v>
      </c>
      <c r="C1246" s="5">
        <f t="shared" si="80"/>
        <v>12</v>
      </c>
      <c r="D1246" s="5">
        <f t="shared" si="81"/>
        <v>2024</v>
      </c>
      <c r="E1246" s="5" t="str">
        <f t="shared" si="82"/>
        <v>Q4</v>
      </c>
      <c r="F1246" s="5">
        <v>185.3099976</v>
      </c>
      <c r="G1246" s="5">
        <v>195.61000060000001</v>
      </c>
      <c r="H1246" s="5">
        <v>184.8500061</v>
      </c>
      <c r="I1246" s="5">
        <v>195.3999939</v>
      </c>
      <c r="J1246" s="5">
        <v>67894100</v>
      </c>
      <c r="K1246" s="5">
        <v>195.3999939</v>
      </c>
      <c r="R1246" s="1">
        <f t="shared" si="83"/>
        <v>45645</v>
      </c>
    </row>
    <row r="1247" spans="1:18" hidden="1">
      <c r="A1247" s="4">
        <v>45639</v>
      </c>
      <c r="B1247" s="5">
        <f t="shared" si="79"/>
        <v>13</v>
      </c>
      <c r="C1247" s="5">
        <f t="shared" si="80"/>
        <v>12</v>
      </c>
      <c r="D1247" s="5">
        <f t="shared" si="81"/>
        <v>2024</v>
      </c>
      <c r="E1247" s="5" t="str">
        <f t="shared" si="82"/>
        <v>Q4</v>
      </c>
      <c r="F1247" s="5">
        <v>195</v>
      </c>
      <c r="G1247" s="5">
        <v>195.17999270000001</v>
      </c>
      <c r="H1247" s="5">
        <v>191.71000670000001</v>
      </c>
      <c r="I1247" s="5">
        <v>191.96000670000001</v>
      </c>
      <c r="J1247" s="5">
        <v>34817500</v>
      </c>
      <c r="K1247" s="5">
        <v>191.96000670000001</v>
      </c>
      <c r="R1247" s="1">
        <f t="shared" si="83"/>
        <v>45646</v>
      </c>
    </row>
    <row r="1248" spans="1:18" hidden="1">
      <c r="A1248" s="4">
        <v>45642</v>
      </c>
      <c r="B1248" s="5">
        <f t="shared" si="79"/>
        <v>16</v>
      </c>
      <c r="C1248" s="5">
        <f t="shared" si="80"/>
        <v>12</v>
      </c>
      <c r="D1248" s="5">
        <f t="shared" si="81"/>
        <v>2024</v>
      </c>
      <c r="E1248" s="5" t="str">
        <f t="shared" si="82"/>
        <v>Q4</v>
      </c>
      <c r="F1248" s="5">
        <v>191.0099945</v>
      </c>
      <c r="G1248" s="5">
        <v>192.72999569999999</v>
      </c>
      <c r="H1248" s="5">
        <v>189.63999939999999</v>
      </c>
      <c r="I1248" s="5">
        <v>189.82000729999999</v>
      </c>
      <c r="J1248" s="5">
        <v>25143500</v>
      </c>
      <c r="K1248" s="5">
        <v>189.82000729999999</v>
      </c>
      <c r="R1248" s="1">
        <f t="shared" si="83"/>
        <v>45649</v>
      </c>
    </row>
    <row r="1249" spans="1:18" hidden="1">
      <c r="A1249" s="4">
        <v>45643</v>
      </c>
      <c r="B1249" s="5">
        <f t="shared" si="79"/>
        <v>17</v>
      </c>
      <c r="C1249" s="5">
        <f t="shared" si="80"/>
        <v>12</v>
      </c>
      <c r="D1249" s="5">
        <f t="shared" si="81"/>
        <v>2024</v>
      </c>
      <c r="E1249" s="5" t="str">
        <f t="shared" si="82"/>
        <v>Q4</v>
      </c>
      <c r="F1249" s="5">
        <v>192.86999510000001</v>
      </c>
      <c r="G1249" s="5">
        <v>199</v>
      </c>
      <c r="H1249" s="5">
        <v>192.61999510000001</v>
      </c>
      <c r="I1249" s="5">
        <v>196.6600037</v>
      </c>
      <c r="J1249" s="5">
        <v>44934900</v>
      </c>
      <c r="K1249" s="5">
        <v>196.6600037</v>
      </c>
      <c r="R1249" s="1">
        <f t="shared" si="83"/>
        <v>45650</v>
      </c>
    </row>
    <row r="1250" spans="1:18" hidden="1">
      <c r="A1250" s="4">
        <v>45644</v>
      </c>
      <c r="B1250" s="5">
        <f t="shared" si="79"/>
        <v>18</v>
      </c>
      <c r="C1250" s="5">
        <f t="shared" si="80"/>
        <v>12</v>
      </c>
      <c r="D1250" s="5">
        <f t="shared" si="81"/>
        <v>2024</v>
      </c>
      <c r="E1250" s="5" t="str">
        <f t="shared" si="82"/>
        <v>Q4</v>
      </c>
      <c r="F1250" s="5">
        <v>197.25</v>
      </c>
      <c r="G1250" s="5">
        <v>201.41999820000001</v>
      </c>
      <c r="H1250" s="5">
        <v>194.97999569999999</v>
      </c>
      <c r="I1250" s="5">
        <v>195.41999820000001</v>
      </c>
      <c r="J1250" s="5">
        <v>43504000</v>
      </c>
      <c r="K1250" s="5">
        <v>195.41999820000001</v>
      </c>
      <c r="R1250" s="1">
        <f t="shared" si="83"/>
        <v>45651</v>
      </c>
    </row>
    <row r="1251" spans="1:18" hidden="1">
      <c r="A1251" s="4">
        <v>45645</v>
      </c>
      <c r="B1251" s="5">
        <f t="shared" si="79"/>
        <v>19</v>
      </c>
      <c r="C1251" s="5">
        <f t="shared" si="80"/>
        <v>12</v>
      </c>
      <c r="D1251" s="5">
        <f t="shared" si="81"/>
        <v>2024</v>
      </c>
      <c r="E1251" s="5" t="str">
        <f t="shared" si="82"/>
        <v>Q4</v>
      </c>
      <c r="F1251" s="5">
        <v>195.22000120000001</v>
      </c>
      <c r="G1251" s="5">
        <v>197</v>
      </c>
      <c r="H1251" s="5">
        <v>187.7400055</v>
      </c>
      <c r="I1251" s="5">
        <v>188.3999939</v>
      </c>
      <c r="J1251" s="5">
        <v>34166100</v>
      </c>
      <c r="K1251" s="5">
        <v>188.3999939</v>
      </c>
      <c r="R1251" s="1">
        <f t="shared" si="83"/>
        <v>45652</v>
      </c>
    </row>
    <row r="1252" spans="1:18" hidden="1">
      <c r="A1252" s="4">
        <v>45646</v>
      </c>
      <c r="B1252" s="5">
        <f t="shared" si="79"/>
        <v>20</v>
      </c>
      <c r="C1252" s="5">
        <f t="shared" si="80"/>
        <v>12</v>
      </c>
      <c r="D1252" s="5">
        <f t="shared" si="81"/>
        <v>2024</v>
      </c>
      <c r="E1252" s="5" t="str">
        <f t="shared" si="82"/>
        <v>Q4</v>
      </c>
      <c r="F1252" s="5">
        <v>191.63000489999999</v>
      </c>
      <c r="G1252" s="5">
        <v>193.02999879999999</v>
      </c>
      <c r="H1252" s="5">
        <v>188.38000489999999</v>
      </c>
      <c r="I1252" s="5">
        <v>188.5099945</v>
      </c>
      <c r="J1252" s="5">
        <v>32265200</v>
      </c>
      <c r="K1252" s="5">
        <v>188.5099945</v>
      </c>
      <c r="R1252" s="1">
        <f t="shared" si="83"/>
        <v>45653</v>
      </c>
    </row>
    <row r="1253" spans="1:18" hidden="1">
      <c r="A1253" s="4">
        <v>45649</v>
      </c>
      <c r="B1253" s="5">
        <f t="shared" si="79"/>
        <v>23</v>
      </c>
      <c r="C1253" s="5">
        <f t="shared" si="80"/>
        <v>12</v>
      </c>
      <c r="D1253" s="5">
        <f t="shared" si="81"/>
        <v>2024</v>
      </c>
      <c r="E1253" s="5" t="str">
        <f t="shared" si="82"/>
        <v>Q4</v>
      </c>
      <c r="F1253" s="5">
        <v>185.77999879999999</v>
      </c>
      <c r="G1253" s="5">
        <v>192.88999939999999</v>
      </c>
      <c r="H1253" s="5">
        <v>185.22000120000001</v>
      </c>
      <c r="I1253" s="5">
        <v>191.4100037</v>
      </c>
      <c r="J1253" s="5">
        <v>63462900</v>
      </c>
      <c r="K1253" s="5">
        <v>191.4100037</v>
      </c>
      <c r="R1253" s="1">
        <f t="shared" si="83"/>
        <v>45656</v>
      </c>
    </row>
    <row r="1254" spans="1:18" hidden="1">
      <c r="A1254" s="4">
        <v>45650</v>
      </c>
      <c r="B1254" s="5">
        <f t="shared" si="79"/>
        <v>24</v>
      </c>
      <c r="C1254" s="5">
        <f t="shared" si="80"/>
        <v>12</v>
      </c>
      <c r="D1254" s="5">
        <f t="shared" si="81"/>
        <v>2024</v>
      </c>
      <c r="E1254" s="5" t="str">
        <f t="shared" si="82"/>
        <v>Q4</v>
      </c>
      <c r="F1254" s="5">
        <v>192.61999510000001</v>
      </c>
      <c r="G1254" s="5">
        <v>195.1000061</v>
      </c>
      <c r="H1254" s="5">
        <v>190.1499939</v>
      </c>
      <c r="I1254" s="5">
        <v>194.63000489999999</v>
      </c>
      <c r="J1254" s="5">
        <v>25675000</v>
      </c>
      <c r="K1254" s="5">
        <v>194.63000489999999</v>
      </c>
      <c r="R1254" s="1">
        <f t="shared" si="83"/>
        <v>45657</v>
      </c>
    </row>
    <row r="1255" spans="1:18" hidden="1">
      <c r="A1255" s="4">
        <v>45652</v>
      </c>
      <c r="B1255" s="5">
        <f t="shared" si="79"/>
        <v>26</v>
      </c>
      <c r="C1255" s="5">
        <f t="shared" si="80"/>
        <v>12</v>
      </c>
      <c r="D1255" s="5">
        <f t="shared" si="81"/>
        <v>2024</v>
      </c>
      <c r="E1255" s="5" t="str">
        <f t="shared" si="82"/>
        <v>Q4</v>
      </c>
      <c r="F1255" s="5">
        <v>194.8399963</v>
      </c>
      <c r="G1255" s="5">
        <v>196.11000060000001</v>
      </c>
      <c r="H1255" s="5">
        <v>193.77999879999999</v>
      </c>
      <c r="I1255" s="5">
        <v>196.11000060000001</v>
      </c>
      <c r="J1255" s="5">
        <v>10403300</v>
      </c>
      <c r="K1255" s="5">
        <v>196.11000060000001</v>
      </c>
    </row>
    <row r="1256" spans="1:18" hidden="1">
      <c r="A1256" s="4">
        <v>45653</v>
      </c>
      <c r="B1256" s="5">
        <f t="shared" si="79"/>
        <v>27</v>
      </c>
      <c r="C1256" s="5">
        <f t="shared" si="80"/>
        <v>12</v>
      </c>
      <c r="D1256" s="5">
        <f t="shared" si="81"/>
        <v>2024</v>
      </c>
      <c r="E1256" s="5" t="str">
        <f t="shared" si="82"/>
        <v>Q4</v>
      </c>
      <c r="F1256" s="5">
        <v>195.1499939</v>
      </c>
      <c r="G1256" s="5">
        <v>196.75</v>
      </c>
      <c r="H1256" s="5">
        <v>194.38000489999999</v>
      </c>
      <c r="I1256" s="5">
        <v>195.6000061</v>
      </c>
      <c r="J1256" s="5">
        <v>12046600</v>
      </c>
      <c r="K1256" s="5">
        <v>195.6000061</v>
      </c>
    </row>
    <row r="1257" spans="1:18" hidden="1">
      <c r="A1257" s="4">
        <v>45656</v>
      </c>
      <c r="B1257" s="5">
        <f t="shared" si="79"/>
        <v>30</v>
      </c>
      <c r="C1257" s="5">
        <f t="shared" si="80"/>
        <v>12</v>
      </c>
      <c r="D1257" s="5">
        <f t="shared" si="81"/>
        <v>2024</v>
      </c>
      <c r="E1257" s="5" t="str">
        <f t="shared" si="82"/>
        <v>Q4</v>
      </c>
      <c r="F1257" s="5">
        <v>194.9499969</v>
      </c>
      <c r="G1257" s="5">
        <v>195.32000729999999</v>
      </c>
      <c r="H1257" s="5">
        <v>190.6499939</v>
      </c>
      <c r="I1257" s="5">
        <v>192.7599945</v>
      </c>
      <c r="J1257" s="5">
        <v>18891400</v>
      </c>
      <c r="K1257" s="5">
        <v>192.7599945</v>
      </c>
    </row>
    <row r="1258" spans="1:18" hidden="1">
      <c r="A1258" s="4">
        <v>45657</v>
      </c>
      <c r="B1258" s="5">
        <f t="shared" si="79"/>
        <v>31</v>
      </c>
      <c r="C1258" s="5">
        <f t="shared" si="80"/>
        <v>12</v>
      </c>
      <c r="D1258" s="5">
        <f t="shared" si="81"/>
        <v>2024</v>
      </c>
      <c r="E1258" s="5" t="str">
        <f t="shared" si="82"/>
        <v>Q4</v>
      </c>
      <c r="F1258" s="5">
        <v>189.8000031</v>
      </c>
      <c r="G1258" s="5">
        <v>192.5500031</v>
      </c>
      <c r="H1258" s="5">
        <v>189.11999510000001</v>
      </c>
      <c r="I1258" s="5">
        <v>191.2400055</v>
      </c>
      <c r="J1258" s="5">
        <v>14264700</v>
      </c>
      <c r="K1258" s="5">
        <v>191.2400055</v>
      </c>
    </row>
    <row r="1259" spans="1:18">
      <c r="B1259">
        <f t="shared" si="79"/>
        <v>0</v>
      </c>
      <c r="C1259">
        <f t="shared" si="80"/>
        <v>1</v>
      </c>
      <c r="D1259">
        <f t="shared" si="81"/>
        <v>1900</v>
      </c>
      <c r="E1259" t="str">
        <f t="shared" si="82"/>
        <v>Q1</v>
      </c>
      <c r="F1259">
        <v>191.08000179999999</v>
      </c>
      <c r="G1259">
        <v>191.96000670000001</v>
      </c>
      <c r="H1259">
        <v>188.5099945</v>
      </c>
      <c r="I1259">
        <v>189.3000031</v>
      </c>
      <c r="J1259">
        <v>17466900</v>
      </c>
      <c r="K1259">
        <v>189.3000031</v>
      </c>
    </row>
  </sheetData>
  <autoFilter ref="A1:E1259" xr:uid="{00000000-0001-0000-0200-000000000000}">
    <filterColumn colId="4">
      <filters>
        <filter val="Q1"/>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googl_data_2020_2025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ITVEDANT19</dc:creator>
  <cp:lastModifiedBy>Mayur</cp:lastModifiedBy>
  <dcterms:created xsi:type="dcterms:W3CDTF">2025-02-17T11:45:47Z</dcterms:created>
  <dcterms:modified xsi:type="dcterms:W3CDTF">2025-02-26T12:47:18Z</dcterms:modified>
</cp:coreProperties>
</file>